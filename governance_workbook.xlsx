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U AI Act Classification" sheetId="1" state="visible" r:id="rId3"/>
    <sheet name="Risk Register" sheetId="2" state="visible" r:id="rId4"/>
    <sheet name="Vendor Evaluation" sheetId="3" state="visible" r:id="rId5"/>
    <sheet name="Model Card" sheetId="4" state="visible" r:id="rId6"/>
    <sheet name="Monitoring &amp; Incidents" sheetId="5" state="visible" r:id="rId7"/>
    <sheet name="Executive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<sst xmlns="http://schemas.openxmlformats.org/spreadsheetml/2006/main" count="710" uniqueCount="591">
  <si>
    <t xml:space="preserve">EU AI ACT RISK CLASSIFICATION — ClinicalCompanion v1.0</t>
  </si>
  <si>
    <t xml:space="preserve">SECTION A: Risk Classification (YOUR ANALYSIS)</t>
  </si>
  <si>
    <t xml:space="preserve">Step</t>
  </si>
  <si>
    <t xml:space="preserve">Question</t>
  </si>
  <si>
    <t xml:space="preserve">Your Answer</t>
  </si>
  <si>
    <t xml:space="preserve">Evidence / Justification</t>
  </si>
  <si>
    <t xml:space="preserve">Article Reference</t>
  </si>
  <si>
    <t xml:space="preserve">Result</t>
  </si>
  <si>
    <t xml:space="preserve">1</t>
  </si>
  <si>
    <t xml:space="preserve">Does the system engage in any prohibited practices under Article 5?</t>
  </si>
  <si>
    <t xml:space="preserve">No</t>
  </si>
  <si>
    <t xml:space="preserve"> model does not use subliminal techniques, exploit vulnerabilities, or utilize social scoring.</t>
  </si>
  <si>
    <t xml:space="preserve">Article 5</t>
  </si>
  <si>
    <t xml:space="preserve">PASS</t>
  </si>
  <si>
    <t xml:space="preserve">2</t>
  </si>
  <si>
    <t xml:space="preserve">Is the system a safety component under EU harmonisation legislation (Annex I)?</t>
  </si>
  <si>
    <t xml:space="preserve">Yes</t>
  </si>
  <si>
    <t xml:space="preserve">safety component under MDR 2017/745 (Rule 11, Class IIb) for medical diagnostic software.</t>
  </si>
  <si>
    <t xml:space="preserve">Article 6(1), Annex I</t>
  </si>
  <si>
    <t xml:space="preserve">QUALIFIED</t>
  </si>
  <si>
    <t xml:space="preserve">3</t>
  </si>
  <si>
    <t xml:space="preserve">Does the system fall under any Annex III high-risk category?</t>
  </si>
  <si>
    <t xml:space="preserve">Falls under Annex III, Point 5 (Healthcare) as it assists in critical medical triage and diagnostic decisions.</t>
  </si>
  <si>
    <t xml:space="preserve">Annex III</t>
  </si>
  <si>
    <t xml:space="preserve">4</t>
  </si>
  <si>
    <t xml:space="preserve">FINAL CLASSIFICATION</t>
  </si>
  <si>
    <t xml:space="preserve">HIGH-RISK</t>
  </si>
  <si>
    <t xml:space="preserve">System is High-Risk under Article 6(1) and 6(2) of the EU AI Act.</t>
  </si>
  <si>
    <t xml:space="preserve">Article 6</t>
  </si>
  <si>
    <t xml:space="preserve">SECTION B: Compliance Gap Analysis (Articles 8-15)</t>
  </si>
  <si>
    <t xml:space="preserve">ClinicalCompanion is a clinical decision support system assisting physicians with diagnosis. It qualifies as a medical device under MDR 2017/745 (Rule 11) and thus falls under Article 6(1)(b) as high-risk AI.</t>
  </si>
  <si>
    <t xml:space="preserve">Article</t>
  </si>
  <si>
    <t xml:space="preserve">Class IIa/IIb</t>
  </si>
  <si>
    <t xml:space="preserve">Description</t>
  </si>
  <si>
    <t xml:space="preserve">Your Status Assessment</t>
  </si>
  <si>
    <t xml:space="preserve">Your Severity Rating</t>
  </si>
  <si>
    <t xml:space="preserve">Your Remediation Plan</t>
  </si>
  <si>
    <t xml:space="preserve">Article 9</t>
  </si>
  <si>
    <t xml:space="preserve">Risk Management System</t>
  </si>
  <si>
    <t xml:space="preserve">Establish and maintain risk management system throughout AI lifecycle</t>
  </si>
  <si>
    <t xml:space="preserve">IMPLEMENTED</t>
  </si>
  <si>
    <t xml:space="preserve">Continuous risk lifecycle management plan established per ISO 14971 standards.</t>
  </si>
  <si>
    <t xml:space="preserve">COMPLIANT</t>
  </si>
  <si>
    <t xml:space="preserve">Risk Identification</t>
  </si>
  <si>
    <t xml:space="preserve">Identify and analyze known and reasonably foreseeable risks</t>
  </si>
  <si>
    <t xml:space="preserve">Risk register identifies 8 critical clinical/technical risks; mapped to NIST AI RMF.</t>
  </si>
  <si>
    <t xml:space="preserve">Residual Risk Evaluation</t>
  </si>
  <si>
    <t xml:space="preserve">Residual risk after mitigation must be judged acceptable</t>
  </si>
  <si>
    <t xml:space="preserve">PARTIAL</t>
  </si>
  <si>
    <t xml:space="preserve">Residual risk scores remain high for hallucinations (3.4%) pending clinical validation.</t>
  </si>
  <si>
    <t xml:space="preserve">ON-GOING</t>
  </si>
  <si>
    <t xml:space="preserve">Article 10</t>
  </si>
  <si>
    <t xml:space="preserve">Data Governance</t>
  </si>
  <si>
    <t xml:space="preserve">Training/validation/testing datasets subject to appropriate governance</t>
  </si>
  <si>
    <t xml:space="preserve">Training sets governance documented; however, bias mitigation protocols for minority demographics need formalization.</t>
  </si>
  <si>
    <t xml:space="preserve">Dataset Representativeness</t>
  </si>
  <si>
    <t xml:space="preserve">Datasets relevant, sufficiently representative, free of errors</t>
  </si>
  <si>
    <t xml:space="preserve">GAP</t>
  </si>
  <si>
    <t xml:space="preserve">Severe underrepresentation of Elderly and certain ethnic subgroups (Rare Diseases &lt;72% accuracy).</t>
  </si>
  <si>
    <t xml:space="preserve">CRITICAL GAP</t>
  </si>
  <si>
    <t xml:space="preserve">Special Category Data</t>
  </si>
  <si>
    <t xml:space="preserve">Appropriate safeguards for health data processing</t>
  </si>
  <si>
    <t xml:space="preserve">Health data processed under Article 9(2)(h) GDPR; de-identification pipeline audited for SOC2.</t>
  </si>
  <si>
    <t xml:space="preserve">Article 11</t>
  </si>
  <si>
    <t xml:space="preserve">Technical Documentation</t>
  </si>
  <si>
    <t xml:space="preserve">Draw up technical documentation before market placement</t>
  </si>
  <si>
    <t xml:space="preserve">Technical docs draft complete; requires update with final clinical trial validation metrics.</t>
  </si>
  <si>
    <t xml:space="preserve">Article 12</t>
  </si>
  <si>
    <t xml:space="preserve">Record-Keeping</t>
  </si>
  <si>
    <t xml:space="preserve">Automatic recording of events (logs) throughout system lifetime</t>
  </si>
  <si>
    <t xml:space="preserve">Automatic logging of all diagnostic suggestions and physician override actions (SQL-backed).</t>
  </si>
  <si>
    <t xml:space="preserve">Log Retention</t>
  </si>
  <si>
    <t xml:space="preserve">Logs retained for appropriate period</t>
  </si>
  <si>
    <t xml:space="preserve">Log retention set to 5 years per healthcare data requirements; integrity verified by checksums.</t>
  </si>
  <si>
    <t xml:space="preserve">Article 13</t>
  </si>
  <si>
    <t xml:space="preserve">Transparency</t>
  </si>
  <si>
    <t xml:space="preserve">Design to allow deployers to interpret output appropriately</t>
  </si>
  <si>
    <t xml:space="preserve">System design enables physician to view confidence scores and 'Explain' rationale for outputs.</t>
  </si>
  <si>
    <t xml:space="preserve">Instructions for Use</t>
  </si>
  <si>
    <t xml:space="preserve">Provide instructions for use to deployers</t>
  </si>
  <si>
    <t xml:space="preserve">User manual available; requires simplified 'Quick Start' for emergency clinical triage.</t>
  </si>
  <si>
    <t xml:space="preserve">Article 14</t>
  </si>
  <si>
    <t xml:space="preserve">Human Oversight</t>
  </si>
  <si>
    <t xml:space="preserve">Design to allow effective human oversight during use</t>
  </si>
  <si>
    <t xml:space="preserve">Mandatory 'Human-in-the-loop' workflow; physicians must sign-off each suggestion.</t>
  </si>
  <si>
    <t xml:space="preserve">Override Capability</t>
  </si>
  <si>
    <t xml:space="preserve">Enable deployer to override or reverse AI output</t>
  </si>
  <si>
    <t xml:space="preserve">Native override capability in UI; system tracks override rates to detect automation bias.</t>
  </si>
  <si>
    <t xml:space="preserve">Article 15</t>
  </si>
  <si>
    <t xml:space="preserve">Accuracy</t>
  </si>
  <si>
    <t xml:space="preserve">Achieve appropriate level of accuracy for intended purpose</t>
  </si>
  <si>
    <t xml:space="preserve">Overall Top-3 accuracy (91.7%) meets target, but inconsistent across disaggregated subgroups.</t>
  </si>
  <si>
    <t xml:space="preserve">Robustness</t>
  </si>
  <si>
    <t xml:space="preserve">Resilient to errors, faults, inconsistencies; adversarial resilience</t>
  </si>
  <si>
    <t xml:space="preserve">System resilient to 99% of edge-case artifacts (noise) in medical imaging inputs.</t>
  </si>
  <si>
    <t xml:space="preserve">Cybersecurity</t>
  </si>
  <si>
    <t xml:space="preserve">Cybersecurity measures appropriate to risk level</t>
  </si>
  <si>
    <t xml:space="preserve">AES-256 encryption and MFA required. Penetration testing (2024) found no critical vulnerabilities.</t>
  </si>
  <si>
    <t xml:space="preserve">SECTION C: Your Classification Summary</t>
  </si>
  <si>
    <t xml:space="preserve">Overall Risk Level:</t>
  </si>
  <si>
    <t xml:space="preserve">Number of Critical/High Gaps:</t>
  </si>
  <si>
    <t xml:space="preserve">6 Critical/High gaps identified.</t>
  </si>
  <si>
    <t xml:space="preserve">Timeline to Compliance:</t>
  </si>
  <si>
    <t xml:space="preserve">3 months (expected before Sep 2025 launch)</t>
  </si>
  <si>
    <t xml:space="preserve">Key Recommendation for the Board:</t>
  </si>
  <si>
    <t xml:space="preserve">System is High-Risk. Launch is tentative pending remediation of dataset representativeness gaps and final MDR audit.</t>
  </si>
  <si>
    <t xml:space="preserve">RISK REGISTER — ClinicalCompanion v1.0 (NIST AI RMF)</t>
  </si>
  <si>
    <t xml:space="preserve">Risk ID</t>
  </si>
  <si>
    <t xml:space="preserve">Risk Category</t>
  </si>
  <si>
    <t xml:space="preserve">NIST RMF
Function</t>
  </si>
  <si>
    <t xml:space="preserve">Risk Description</t>
  </si>
  <si>
    <t xml:space="preserve">Risk Owner</t>
  </si>
  <si>
    <t xml:space="preserve">Likelihood
(1-5)</t>
  </si>
  <si>
    <t xml:space="preserve">Impact
(1-5)</t>
  </si>
  <si>
    <t xml:space="preserve">Risk Score
(L×I)</t>
  </si>
  <si>
    <t xml:space="preserve">Priority</t>
  </si>
  <si>
    <t xml:space="preserve">Your Mitigation Strategy</t>
  </si>
  <si>
    <t xml:space="preserve">Mitigation
Status</t>
  </si>
  <si>
    <t xml:space="preserve">Your Residual
Likelihood</t>
  </si>
  <si>
    <t xml:space="preserve">Your Residual
Impact</t>
  </si>
  <si>
    <t xml:space="preserve">Residual
Score</t>
  </si>
  <si>
    <t xml:space="preserve">R-001</t>
  </si>
  <si>
    <t xml:space="preserve">Technical</t>
  </si>
  <si>
    <t xml:space="preserve">Measure</t>
  </si>
  <si>
    <t xml:space="preserve">Clinical hallucinations: Model generates plausible but fabricated medical references or diagnostic suggestions not supported by evidence (current rate: 3.4%)</t>
  </si>
  <si>
    <t xml:space="preserve">VP Engineering</t>
  </si>
  <si>
    <t xml:space="preserve">Critical</t>
  </si>
  <si>
    <t xml:space="preserve">Implement output verification layer cross-referencing curated medical KB; add confidence thresholds; establish physician feedback loop for hallucination reporting</t>
  </si>
  <si>
    <t xml:space="preserve">In Progress</t>
  </si>
  <si>
    <t xml:space="preserve">R-002</t>
  </si>
  <si>
    <t xml:space="preserve">Ethical / Bias</t>
  </si>
  <si>
    <t xml:space="preserve">Map</t>
  </si>
  <si>
    <t xml:space="preserve">Demographic bias: Training data underrepresents Eastern European, Sub-Saharan African, and Southeast Asian populations, leading to potential diagnostic disparities</t>
  </si>
  <si>
    <t xml:space="preserve">Chief Medical Officer</t>
  </si>
  <si>
    <t xml:space="preserve">High</t>
  </si>
  <si>
    <t xml:space="preserve">Stratified performance audits across demographics; augment training data; implement bias monitoring dashboards; establish fairness thresholds per EU AI Act Art. 10</t>
  </si>
  <si>
    <t xml:space="preserve">Planned</t>
  </si>
  <si>
    <t xml:space="preserve">R-003</t>
  </si>
  <si>
    <t xml:space="preserve">Legal / Regulatory</t>
  </si>
  <si>
    <t xml:space="preserve">Govern</t>
  </si>
  <si>
    <t xml:space="preserve">EU AI Act non-compliance: Failure to complete conformity assessment before market entry could result in penalties up to 3% of global turnover and deployment prohibition</t>
  </si>
  <si>
    <t xml:space="preserve">Head of Compliance</t>
  </si>
  <si>
    <t xml:space="preserve">Engage Notified Body for conformity assessment; complete technical documentation per Art. 11-12; track regulatory deadlines</t>
  </si>
  <si>
    <t xml:space="preserve">R-004</t>
  </si>
  <si>
    <t xml:space="preserve">Privacy / Security</t>
  </si>
  <si>
    <t xml:space="preserve">Manage</t>
  </si>
  <si>
    <t xml:space="preserve">Patient data re-identification: Residual re-identification risk through quasi-identifier combinations or model memorization of training data patterns despite de-identification pipeline</t>
  </si>
  <si>
    <t xml:space="preserve">Data Protection Officer</t>
  </si>
  <si>
    <t xml:space="preserve">Quarterly re-identification risk assessments; differential privacy for fine-tuning; enhanced de-identification for edge cases; membership inference testing</t>
  </si>
  <si>
    <t xml:space="preserve">Partial</t>
  </si>
  <si>
    <t xml:space="preserve">R-005</t>
  </si>
  <si>
    <t xml:space="preserve">Operational</t>
  </si>
  <si>
    <t xml:space="preserve">Foundation model vendor dependency: FoundationHealth Inc. controls model weights, update cadence, and API availability. Unilateral updates could alter clinical performance; discontinuation would halt operations</t>
  </si>
  <si>
    <t xml:space="preserve">Contractual protections (versioning, rollback, 90-day notice); fallback model strategy; regression testing for vendor updates; explore model distillation</t>
  </si>
  <si>
    <t xml:space="preserve">R-006</t>
  </si>
  <si>
    <t xml:space="preserve">Model drift: Performance degradation over time due to evolving clinical practices, new diseases, or changing patient populations without adequate monitoring</t>
  </si>
  <si>
    <t xml:space="preserve">Continuous performance monitoring with automated alerts; quarterly re-validation; define performance floor thresholds triggering retraining or withdrawal</t>
  </si>
  <si>
    <t xml:space="preserve">R-007</t>
  </si>
  <si>
    <t xml:space="preserve">Ethical / Safety</t>
  </si>
  <si>
    <t xml:space="preserve">Automation bias: Physicians may over-rely on ClinicalCompanion suggestions without sufficient independent judgment, particularly under time pressure or fatigue</t>
  </si>
  <si>
    <t xml:space="preserve">UI requires active physician confirmation; uncertainty indicators; mandatory user training; periodic physician override rate assessments</t>
  </si>
  <si>
    <t xml:space="preserve">R-008</t>
  </si>
  <si>
    <t xml:space="preserve">Cross-border data transfer: Patient data flowing between EU infrastructure and US-based FoundationHealth API may violate GDPR Chapter V, particularly post-Schrems II</t>
  </si>
  <si>
    <t xml:space="preserve">EU-only processing where possible; Standard Contractual Clauses with FoundationHealth; Transfer Impact Assessment; explore EU-hosted model alternatives</t>
  </si>
  <si>
    <t xml:space="preserve">RISK SUMMARY (auto-calculated from your entries above)</t>
  </si>
  <si>
    <t xml:space="preserve">Total Risks:</t>
  </si>
  <si>
    <t xml:space="preserve">Average Risk Score:</t>
  </si>
  <si>
    <t xml:space="preserve">Critical (20-25):</t>
  </si>
  <si>
    <t xml:space="preserve">Max Risk Score:</t>
  </si>
  <si>
    <t xml:space="preserve">High (15-19):</t>
  </si>
  <si>
    <t xml:space="preserve">SCORING GUIDE</t>
  </si>
  <si>
    <t xml:space="preserve">Likelihood</t>
  </si>
  <si>
    <t xml:space="preserve">1 = Rare</t>
  </si>
  <si>
    <t xml:space="preserve">2 = Unlikely</t>
  </si>
  <si>
    <t xml:space="preserve">3 = Possible</t>
  </si>
  <si>
    <t xml:space="preserve">4 = Likely</t>
  </si>
  <si>
    <t xml:space="preserve">5 = Almost Certain</t>
  </si>
  <si>
    <t xml:space="preserve">Impact</t>
  </si>
  <si>
    <t xml:space="preserve">1 = Negligible</t>
  </si>
  <si>
    <t xml:space="preserve">2 = Minor</t>
  </si>
  <si>
    <t xml:space="preserve">3 = Moderate</t>
  </si>
  <si>
    <t xml:space="preserve">4 = Major</t>
  </si>
  <si>
    <t xml:space="preserve">5 = Catastrophic</t>
  </si>
  <si>
    <t xml:space="preserve">Critical: 20-25</t>
  </si>
  <si>
    <t xml:space="preserve">High: 15-19</t>
  </si>
  <si>
    <t xml:space="preserve">Medium: 10-14</t>
  </si>
  <si>
    <t xml:space="preserve">Low: 5-9</t>
  </si>
  <si>
    <t xml:space="preserve">Minimal: 1-4</t>
  </si>
  <si>
    <t xml:space="preserve">THIRD-PARTY AI VENDOR EVALUATION — FoundationHealth Inc.</t>
  </si>
  <si>
    <t xml:space="preserve">SECTION A: Vendor Profile (reference data)</t>
  </si>
  <si>
    <t xml:space="preserve">Company Name:</t>
  </si>
  <si>
    <t xml:space="preserve">FoundationHealth Inc.</t>
  </si>
  <si>
    <t xml:space="preserve">Founded:</t>
  </si>
  <si>
    <t xml:space="preserve">2021</t>
  </si>
  <si>
    <t xml:space="preserve">Headquarters:</t>
  </si>
  <si>
    <t xml:space="preserve">San Francisco, CA, USA</t>
  </si>
  <si>
    <t xml:space="preserve">Funding:</t>
  </si>
  <si>
    <t xml:space="preserve">Series C ($180M, 2024)</t>
  </si>
  <si>
    <t xml:space="preserve">Employees:</t>
  </si>
  <si>
    <t xml:space="preserve">450</t>
  </si>
  <si>
    <t xml:space="preserve">Revenue:</t>
  </si>
  <si>
    <t xml:space="preserve">$85M (60% YoY, not yet profitable)</t>
  </si>
  <si>
    <t xml:space="preserve">Certifications:</t>
  </si>
  <si>
    <t xml:space="preserve">soc2_type2, iso_27001</t>
  </si>
  <si>
    <t xml:space="preserve">SLA Uptime:</t>
  </si>
  <si>
    <t xml:space="preserve">99.9%</t>
  </si>
  <si>
    <t xml:space="preserve">SECTION B: Evaluation Scorecard — enter scores from your notebook analysis</t>
  </si>
  <si>
    <t xml:space="preserve">Category</t>
  </si>
  <si>
    <t xml:space="preserve">Criteria
Count</t>
  </si>
  <si>
    <t xml:space="preserve">Your Total
Score</t>
  </si>
  <si>
    <t xml:space="preserve">Max
Score</t>
  </si>
  <si>
    <t xml:space="preserve">Your
Score %</t>
  </si>
  <si>
    <t xml:space="preserve">Your Risk
Level</t>
  </si>
  <si>
    <t xml:space="preserve">Key Finding</t>
  </si>
  <si>
    <t xml:space="preserve">Model Transparency &amp; Documentation</t>
  </si>
  <si>
    <t xml:space="preserve">Disclosed model architecture and benchmarks, but specific dataset sources and failure modes are undocumented.</t>
  </si>
  <si>
    <t xml:space="preserve">Data Privacy &amp; Security</t>
  </si>
  <si>
    <t xml:space="preserve">Strong certifications (SOC2, HIPAA) and encryption; however, TIA for EU-US transfer is missing.</t>
  </si>
  <si>
    <t xml:space="preserve">Model Governance &amp; Lifecycle</t>
  </si>
  <si>
    <t xml:space="preserve">Standard versioning and rollback in place; but lack of disaggregated fairness testing for EU demographics.</t>
  </si>
  <si>
    <t xml:space="preserve">Contractual &amp; Business Continuity</t>
  </si>
  <si>
    <t xml:space="preserve">Solid uptime SLA and DR plans, but high vendor lock-in risk and startup financial dependency.</t>
  </si>
  <si>
    <t xml:space="preserve">Regulatory &amp; Ethical Alignment</t>
  </si>
  <si>
    <t xml:space="preserve">Principles aligned with OECD but lack of ISO 42001 and formalized external AI ethics review.</t>
  </si>
  <si>
    <t xml:space="preserve">OVERALL</t>
  </si>
  <si>
    <t xml:space="preserve">Overall vendor risk is Medium; suitable for pilot but requires mitigation for full clinical rollout.</t>
  </si>
  <si>
    <t xml:space="preserve">Scoring guide:</t>
  </si>
  <si>
    <t xml:space="preserve">&gt;=80% = Low Risk</t>
  </si>
  <si>
    <t xml:space="preserve">60-79% = Medium Risk</t>
  </si>
  <si>
    <t xml:space="preserve">&lt;60% = High Risk</t>
  </si>
  <si>
    <t xml:space="preserve">SECTION C: Your Vendor Recommendation</t>
  </si>
  <si>
    <t xml:space="preserve">Recommendation:</t>
  </si>
  <si>
    <t xml:space="preserve">Conditional Approval (Pilot Phase Only)</t>
  </si>
  <si>
    <t xml:space="preserve">Key Strengths:</t>
  </si>
  <si>
    <t xml:space="preserve">Strong security posture (SOC2/HIPAA) and established clinical performance benchmarks.</t>
  </si>
  <si>
    <t xml:space="preserve">Key Weaknesses:</t>
  </si>
  <si>
    <t xml:space="preserve">High vendor lock-in, lack of ISO 42001 certification, and opaque training data composition.</t>
  </si>
  <si>
    <t xml:space="preserve">Required Mitigations:</t>
  </si>
  <si>
    <t xml:space="preserve">Requirement for quarterly performance audits across EU demographics and internal hallucination monitoring.</t>
  </si>
  <si>
    <t xml:space="preserve">Contractual Requirements:</t>
  </si>
  <si>
    <t xml:space="preserve">Establishment of SCCs and TIAs; escrow agreement for model weights; 90-day notification for performance-impacting updates.</t>
  </si>
  <si>
    <t xml:space="preserve">MODEL CARD — ClinicalCompanion v1.0 (Mitchell et al., 2019)</t>
  </si>
  <si>
    <t xml:space="preserve">1. MODEL DETAILS (reference data)</t>
  </si>
  <si>
    <t xml:space="preserve">Model Name:</t>
  </si>
  <si>
    <t xml:space="preserve">FoundationHealth Medical LLM v3.2</t>
  </si>
  <si>
    <t xml:space="preserve">Version:</t>
  </si>
  <si>
    <t xml:space="preserve">1.0</t>
  </si>
  <si>
    <t xml:space="preserve">Type:</t>
  </si>
  <si>
    <t xml:space="preserve">Clinical Decision Support System (CDSS)</t>
  </si>
  <si>
    <t xml:space="preserve">Developer:</t>
  </si>
  <si>
    <t xml:space="preserve">MedAssist AI</t>
  </si>
  <si>
    <t xml:space="preserve">Planned Release:</t>
  </si>
  <si>
    <t xml:space="preserve">2025-09-01</t>
  </si>
  <si>
    <t xml:space="preserve">Architecture:</t>
  </si>
  <si>
    <t xml:space="preserve">Transformer-based, 7B parameters</t>
  </si>
  <si>
    <t xml:space="preserve">Access Method:</t>
  </si>
  <si>
    <t xml:space="preserve">API</t>
  </si>
  <si>
    <t xml:space="preserve">Provider:</t>
  </si>
  <si>
    <t xml:space="preserve">2. INTENDED USE (reference data)</t>
  </si>
  <si>
    <t xml:space="preserve">Primary Functions:</t>
  </si>
  <si>
    <t xml:space="preserve">Ranked diagnostic suggestions with confidence scores; Differential diagnosis support with reasoning; Evidence-based treatment considerations mapped to clinical guidelines; Risk flags for critical findings, drug interactions, deteriorating status</t>
  </si>
  <si>
    <t xml:space="preserve">Intended Users:</t>
  </si>
  <si>
    <t xml:space="preserve">Licensed physicians (primary care and specialists); Clinical fellows and residents (under attending supervision); Nurse practitioners and physician assistants (where authorized)</t>
  </si>
  <si>
    <t xml:space="preserve">Out-of-Scope:</t>
  </si>
  <si>
    <t xml:space="preserve">Autonomous diagnosis or treatment decisions; Standalone diagnostic tool (must not replace physician judgment); Patient-facing interface (no direct patient use); Pediatric populations (under 18) in initial release; Emergency triage as sole decision-making tool</t>
  </si>
  <si>
    <t xml:space="preserve">3. TRAINING DATA (reference data)</t>
  </si>
  <si>
    <t xml:space="preserve">Partner Hospital Network A (EU)</t>
  </si>
  <si>
    <t xml:space="preserve">280,000 records</t>
  </si>
  <si>
    <t xml:space="preserve">Germany, France, Netherlands</t>
  </si>
  <si>
    <t xml:space="preserve">EHR encounters</t>
  </si>
  <si>
    <t xml:space="preserve">Partner Hospital Network B (US)</t>
  </si>
  <si>
    <t xml:space="preserve">170,000 records</t>
  </si>
  <si>
    <t xml:space="preserve">United States (multi-state)</t>
  </si>
  <si>
    <t xml:space="preserve">PubMed Abstract Corpus</t>
  </si>
  <si>
    <t xml:space="preserve">2,100,000 records</t>
  </si>
  <si>
    <t xml:space="preserve">Global</t>
  </si>
  <si>
    <t xml:space="preserve">Medical literature abstracts</t>
  </si>
  <si>
    <t xml:space="preserve">Expert Clinical Q&amp;A</t>
  </si>
  <si>
    <t xml:space="preserve">12,000 records</t>
  </si>
  <si>
    <t xml:space="preserve">EU, US</t>
  </si>
  <si>
    <t xml:space="preserve">Curated Q&amp;A pairs</t>
  </si>
  <si>
    <t xml:space="preserve">Clinical Practice Guidelines</t>
  </si>
  <si>
    <t xml:space="preserve">340 records</t>
  </si>
  <si>
    <t xml:space="preserve">EU, US, WHO</t>
  </si>
  <si>
    <t xml:space="preserve">Practice guidelines</t>
  </si>
  <si>
    <t xml:space="preserve">Total Records:</t>
  </si>
  <si>
    <t xml:space="preserve">2,562,340</t>
  </si>
  <si>
    <t xml:space="preserve">4. KEY PERFORMANCE METRICS (from performance_metrics.csv)</t>
  </si>
  <si>
    <t xml:space="preserve">Overall Top-3 Accuracy:</t>
  </si>
  <si>
    <t xml:space="preserve">91.7%</t>
  </si>
  <si>
    <t xml:space="preserve">Hallucination Rate:</t>
  </si>
  <si>
    <t xml:space="preserve">3.4%</t>
  </si>
  <si>
    <t xml:space="preserve">Critical Finding Detection:</t>
  </si>
  <si>
    <t xml:space="preserve">94.2%</t>
  </si>
  <si>
    <t xml:space="preserve">Average Response Time:</t>
  </si>
  <si>
    <t xml:space="preserve">2.8s</t>
  </si>
  <si>
    <t xml:space="preserve">Physician Override Rate:</t>
  </si>
  <si>
    <t xml:space="preserve">89.5%</t>
  </si>
  <si>
    <t xml:space="preserve">5. DISAGGREGATED PERFORMANCE (from performance_metrics.csv)</t>
  </si>
  <si>
    <t xml:space="preserve">Gender Parity:</t>
  </si>
  <si>
    <t xml:space="preserve">0.96 (ratio)</t>
  </si>
  <si>
    <t xml:space="preserve">Age Groups:</t>
  </si>
  <si>
    <t xml:space="preserve">88.9%</t>
  </si>
  <si>
    <t xml:space="preserve">Specialty - Cardiovascular:</t>
  </si>
  <si>
    <t xml:space="preserve">94.1%</t>
  </si>
  <si>
    <t xml:space="preserve">Specialty - Neurological:</t>
  </si>
  <si>
    <t xml:space="preserve">90.3%</t>
  </si>
  <si>
    <t xml:space="preserve">Specialty - Rare Diseases:</t>
  </si>
  <si>
    <t xml:space="preserve">71.2%</t>
  </si>
  <si>
    <t xml:space="preserve">Language - Non-English:</t>
  </si>
  <si>
    <t xml:space="preserve">84.3%</t>
  </si>
  <si>
    <t xml:space="preserve">Complexity - Multi-morbidity:</t>
  </si>
  <si>
    <t xml:space="preserve">74.0%</t>
  </si>
  <si>
    <t xml:space="preserve">6. FAIRNESS METRICS (from performance_metrics.csv)</t>
  </si>
  <si>
    <t xml:space="preserve">Equalized Odds:</t>
  </si>
  <si>
    <t xml:space="preserve">0.91 (ratio)</t>
  </si>
  <si>
    <t xml:space="preserve">Demographic Parity:</t>
  </si>
  <si>
    <t xml:space="preserve">0.94 (ratio)</t>
  </si>
  <si>
    <t xml:space="preserve">Predictive Parity:</t>
  </si>
  <si>
    <t xml:space="preserve">7. YOUR FAIRNESS ANALYSIS</t>
  </si>
  <si>
    <t xml:space="preserve">Gender Parity Assessment:</t>
  </si>
  <si>
    <t xml:space="preserve">Performance is consistently high (91-92% accuracy) for both genders (ratio 0.96), showing no significant bias.</t>
  </si>
  <si>
    <t xml:space="preserve">Age Group Equity:</t>
  </si>
  <si>
    <t xml:space="preserve">While 18-64 groups exceed 90%, accuracy for patients over 65 drops to 88.9%. Ongoing monitoring required.</t>
  </si>
  <si>
    <t xml:space="preserve">Underserved Populations:</t>
  </si>
  <si>
    <t xml:space="preserve">Rare Diseases (71.2%) and Multi-morbidity (74.0%) performance is SIGNIFICANTLY below target, indicating lower model reliability.</t>
  </si>
  <si>
    <t xml:space="preserve">Fairness Metrics Interpretation:</t>
  </si>
  <si>
    <t xml:space="preserve">Fairness metrics (ratio 0.91-0.96) indicate high system-level fairness, though subgroup gaps must be mitigated.</t>
  </si>
  <si>
    <t xml:space="preserve">8. YOUR ETHICAL CONSIDERATIONS</t>
  </si>
  <si>
    <t xml:space="preserve">Bias Concerns:</t>
  </si>
  <si>
    <t xml:space="preserve">Disparity in complex cases could lead to diagnostic inequity if HITL protocols are not strictly followed.</t>
  </si>
  <si>
    <t xml:space="preserve">Patient Safety:</t>
  </si>
  <si>
    <t xml:space="preserve">The hallucination rate (3.4%) exceeds target (&lt;2%). This is a critical safety concern requiring physician verification.</t>
  </si>
  <si>
    <t xml:space="preserve">Automation Bias:</t>
  </si>
  <si>
    <t xml:space="preserve">Risk of automation bias where clinicians may defer to model recommendations under high patient load.</t>
  </si>
  <si>
    <t xml:space="preserve">Data Privacy:</t>
  </si>
  <si>
    <t xml:space="preserve">GDPR and EU AI Act compliance requires continuous PII scanning and audit logging for EHR data access.</t>
  </si>
  <si>
    <t xml:space="preserve">9. YOUR LIMITATIONS &amp; RECOMMENDATIONS</t>
  </si>
  <si>
    <t xml:space="preserve">Known Limitations:</t>
  </si>
  <si>
    <t xml:space="preserve">Performance degrades for non-English notes (84.3%) and multi-morbidity (74.0%). Sub-target detection for rare diseases.</t>
  </si>
  <si>
    <t xml:space="preserve">Recommendations:</t>
  </si>
  <si>
    <t xml:space="preserve">1) Immediate HITL for low-confidence subgroups. 2) Data augmentation for complex pathologies. 3) Confidence scoring transparency.</t>
  </si>
  <si>
    <t xml:space="preserve">POST-DEPLOYMENT MONITORING &amp; INCIDENT RESPONSE PLAN</t>
  </si>
  <si>
    <t xml:space="preserve">SECTION A: Key Performance Indicators (reference data)</t>
  </si>
  <si>
    <t xml:space="preserve">KPI ID</t>
  </si>
  <si>
    <t xml:space="preserve">Dimension</t>
  </si>
  <si>
    <t xml:space="preserve">Metric Name</t>
  </si>
  <si>
    <t xml:space="preserve">Measurement Method</t>
  </si>
  <si>
    <t xml:space="preserve">Frequency</t>
  </si>
  <si>
    <t xml:space="preserve">Threshold</t>
  </si>
  <si>
    <t xml:space="preserve">Escalation Trigger</t>
  </si>
  <si>
    <t xml:space="preserve">Responsible Role</t>
  </si>
  <si>
    <t xml:space="preserve">KPI-001</t>
  </si>
  <si>
    <t xml:space="preserve">Clinical Performance</t>
  </si>
  <si>
    <t xml:space="preserve">Top-3 Diagnostic Accuracy</t>
  </si>
  <si>
    <t xml:space="preserve">Comparison against physician-confirmed diagnoses (sampled)</t>
  </si>
  <si>
    <t xml:space="preserve">Weekly (sampled), Monthly (full)</t>
  </si>
  <si>
    <t xml:space="preserve">&gt;= 90%</t>
  </si>
  <si>
    <t xml:space="preserve">Drops below 88% for 2 consecutive weeks</t>
  </si>
  <si>
    <t xml:space="preserve">Data Science Team</t>
  </si>
  <si>
    <t xml:space="preserve">KPI-002</t>
  </si>
  <si>
    <t xml:space="preserve">Hallucination Rate</t>
  </si>
  <si>
    <t xml:space="preserve">Automated reference verification + physician flagging</t>
  </si>
  <si>
    <t xml:space="preserve">Daily (auto), Weekly (manual)</t>
  </si>
  <si>
    <t xml:space="preserve">&lt; 2% (current: 3.4%)</t>
  </si>
  <si>
    <t xml:space="preserve">Exceeds 5% or any critical hallucination</t>
  </si>
  <si>
    <t xml:space="preserve">KPI-003</t>
  </si>
  <si>
    <t xml:space="preserve">Critical Finding Detection</t>
  </si>
  <si>
    <t xml:space="preserve">Audit against known critical cases in test set</t>
  </si>
  <si>
    <t xml:space="preserve">Monthly</t>
  </si>
  <si>
    <t xml:space="preserve">&gt;= 93%</t>
  </si>
  <si>
    <t xml:space="preserve">Drops below 90%</t>
  </si>
  <si>
    <t xml:space="preserve">Clinical Safety Officer</t>
  </si>
  <si>
    <t xml:space="preserve">KPI-004</t>
  </si>
  <si>
    <t xml:space="preserve">False Positive Rate (Critical)</t>
  </si>
  <si>
    <t xml:space="preserve">Review of physician dismissal rates for critical alerts</t>
  </si>
  <si>
    <t xml:space="preserve">Weekly</t>
  </si>
  <si>
    <t xml:space="preserve">&lt; 10%</t>
  </si>
  <si>
    <t xml:space="preserve">Exceeds 15%</t>
  </si>
  <si>
    <t xml:space="preserve">KPI-005</t>
  </si>
  <si>
    <t xml:space="preserve">Drug Interaction Precision</t>
  </si>
  <si>
    <t xml:space="preserve">Comparison against PharmaDB ground truth</t>
  </si>
  <si>
    <t xml:space="preserve">&gt;= 85%</t>
  </si>
  <si>
    <t xml:space="preserve">Drops below 80%</t>
  </si>
  <si>
    <t xml:space="preserve">KPI-006</t>
  </si>
  <si>
    <t xml:space="preserve">Fairness &amp; Bias</t>
  </si>
  <si>
    <t xml:space="preserve">Accuracy Parity (age groups)</t>
  </si>
  <si>
    <t xml:space="preserve">Stratified accuracy comparison across age brackets</t>
  </si>
  <si>
    <t xml:space="preserve">Max gap &lt; 5% across standard groups</t>
  </si>
  <si>
    <t xml:space="preserve">Any group drops &gt;7% below overall</t>
  </si>
  <si>
    <t xml:space="preserve">AI Governance Analyst</t>
  </si>
  <si>
    <t xml:space="preserve">KPI-007</t>
  </si>
  <si>
    <t xml:space="preserve">Accuracy Parity (gender)</t>
  </si>
  <si>
    <t xml:space="preserve">Stratified accuracy by gender</t>
  </si>
  <si>
    <t xml:space="preserve">Max gap &lt; 3%</t>
  </si>
  <si>
    <t xml:space="preserve">Gap exceeds 5%</t>
  </si>
  <si>
    <t xml:space="preserve">KPI-008</t>
  </si>
  <si>
    <t xml:space="preserve">Equalized Odds</t>
  </si>
  <si>
    <t xml:space="preserve">FPR/FNR comparison across demographics</t>
  </si>
  <si>
    <t xml:space="preserve">Quarterly</t>
  </si>
  <si>
    <t xml:space="preserve">&gt;= 0.90 across groups</t>
  </si>
  <si>
    <t xml:space="preserve">Drops below 0.85 for any group</t>
  </si>
  <si>
    <t xml:space="preserve">KPI-009</t>
  </si>
  <si>
    <t xml:space="preserve">Underrepresented Pop. Performance</t>
  </si>
  <si>
    <t xml:space="preserve">Dedicated evaluation on underrepresented data</t>
  </si>
  <si>
    <t xml:space="preserve">Improving trend toward parity</t>
  </si>
  <si>
    <t xml:space="preserve">Performance gap widening</t>
  </si>
  <si>
    <t xml:space="preserve">KPI-010</t>
  </si>
  <si>
    <t xml:space="preserve">System Uptime</t>
  </si>
  <si>
    <t xml:space="preserve">AWS CloudWatch infrastructure monitoring</t>
  </si>
  <si>
    <t xml:space="preserve">Real-time</t>
  </si>
  <si>
    <t xml:space="preserve">&gt;= 99.9%</t>
  </si>
  <si>
    <t xml:space="preserve">Drops below 99.5% in any month</t>
  </si>
  <si>
    <t xml:space="preserve">KPI-011</t>
  </si>
  <si>
    <t xml:space="preserve">Average Response Latency</t>
  </si>
  <si>
    <t xml:space="preserve">API response time tracking</t>
  </si>
  <si>
    <t xml:space="preserve">&lt; 5 seconds (p95)</t>
  </si>
  <si>
    <t xml:space="preserve">p95 exceeds 8 seconds</t>
  </si>
  <si>
    <t xml:space="preserve">KPI-012</t>
  </si>
  <si>
    <t xml:space="preserve">API Error Rate</t>
  </si>
  <si>
    <t xml:space="preserve">HTTP error code monitoring</t>
  </si>
  <si>
    <t xml:space="preserve">&lt; 0.1%</t>
  </si>
  <si>
    <t xml:space="preserve">Exceeds 1%</t>
  </si>
  <si>
    <t xml:space="preserve">KPI-013</t>
  </si>
  <si>
    <t xml:space="preserve">Vendor API Availability</t>
  </si>
  <si>
    <t xml:space="preserve">FoundationHealth API health checks</t>
  </si>
  <si>
    <t xml:space="preserve">&gt;= 99.9% per SLA</t>
  </si>
  <si>
    <t xml:space="preserve">Any outage &gt; 15 minutes</t>
  </si>
  <si>
    <t xml:space="preserve">KPI-014</t>
  </si>
  <si>
    <t xml:space="preserve">Data Quality</t>
  </si>
  <si>
    <t xml:space="preserve">Input Data Completeness</t>
  </si>
  <si>
    <t xml:space="preserve">Validation of required EHR fields</t>
  </si>
  <si>
    <t xml:space="preserve">Per-request</t>
  </si>
  <si>
    <t xml:space="preserve">&gt;= 95% completeness</t>
  </si>
  <si>
    <t xml:space="preserve">KPI-015</t>
  </si>
  <si>
    <t xml:space="preserve">De-identification Validation</t>
  </si>
  <si>
    <t xml:space="preserve">Automated PII scanning of model inputs</t>
  </si>
  <si>
    <t xml:space="preserve">Daily</t>
  </si>
  <si>
    <t xml:space="preserve">0 PII leaks</t>
  </si>
  <si>
    <t xml:space="preserve">Any PII detected in model input</t>
  </si>
  <si>
    <t xml:space="preserve">KPI-016</t>
  </si>
  <si>
    <t xml:space="preserve">Data Drift Detection</t>
  </si>
  <si>
    <t xml:space="preserve">Statistical comparison of input distributions vs training data (KL divergence)</t>
  </si>
  <si>
    <t xml:space="preserve">KL divergence &lt; 0.1</t>
  </si>
  <si>
    <t xml:space="preserve">KL divergence exceeds 0.2</t>
  </si>
  <si>
    <t xml:space="preserve">SECTION B: AI-Specific Incident Taxonomy (from incident_types.csv)</t>
  </si>
  <si>
    <t xml:space="preserve">Incident ID</t>
  </si>
  <si>
    <t xml:space="preserve">Incident Type</t>
  </si>
  <si>
    <t xml:space="preserve">Example</t>
  </si>
  <si>
    <t xml:space="preserve">Severity Range</t>
  </si>
  <si>
    <t xml:space="preserve">Detection Method</t>
  </si>
  <si>
    <t xml:space="preserve">INC-01</t>
  </si>
  <si>
    <t xml:space="preserve">Clinical Hallucination</t>
  </si>
  <si>
    <t xml:space="preserve">Model generates fabricated medical information, references, or diagnoses</t>
  </si>
  <si>
    <t xml:space="preserve">Recommending a drug that does not exist or citing a non-existent clinical trial</t>
  </si>
  <si>
    <t xml:space="preserve">S2-S1</t>
  </si>
  <si>
    <t xml:space="preserve">Automated reference verification, physician flagging</t>
  </si>
  <si>
    <t xml:space="preserve">INC-02</t>
  </si>
  <si>
    <t xml:space="preserve">Harmful Suggestion</t>
  </si>
  <si>
    <t xml:space="preserve">Model output could lead to patient harm if followed</t>
  </si>
  <si>
    <t xml:space="preserve">Suggesting contraindicated medication for documented allergy</t>
  </si>
  <si>
    <t xml:space="preserve">S1</t>
  </si>
  <si>
    <t xml:space="preserve">Physician reporting, safety filter logs</t>
  </si>
  <si>
    <t xml:space="preserve">INC-03</t>
  </si>
  <si>
    <t xml:space="preserve">Bias-Related Harm</t>
  </si>
  <si>
    <t xml:space="preserve">Model demonstrates systematic bias affecting care quality for specific groups</t>
  </si>
  <si>
    <t xml:space="preserve">Consistently lower diagnostic accuracy for a specific ethnic or age group</t>
  </si>
  <si>
    <t xml:space="preserve">Stratified performance monitoring, fairness dashboards</t>
  </si>
  <si>
    <t xml:space="preserve">INC-04</t>
  </si>
  <si>
    <t xml:space="preserve">Privacy Breach</t>
  </si>
  <si>
    <t xml:space="preserve">Patient identifiable information exposed through model behavior</t>
  </si>
  <si>
    <t xml:space="preserve">Model outputs patient name or MRN in response (de-identification failure)</t>
  </si>
  <si>
    <t xml:space="preserve">Automated PII scanning, audit log review</t>
  </si>
  <si>
    <t xml:space="preserve">INC-05</t>
  </si>
  <si>
    <t xml:space="preserve">Performance Degradation</t>
  </si>
  <si>
    <t xml:space="preserve">Significant drop in model accuracy or reliability</t>
  </si>
  <si>
    <t xml:space="preserve">Top-3 accuracy drops below 85% across all cases</t>
  </si>
  <si>
    <t xml:space="preserve">S3-S2</t>
  </si>
  <si>
    <t xml:space="preserve">Automated KPI monitoring alerts</t>
  </si>
  <si>
    <t xml:space="preserve">INC-06</t>
  </si>
  <si>
    <t xml:space="preserve">Adversarial Manipulation</t>
  </si>
  <si>
    <t xml:space="preserve">Deliberate attempt to manipulate model outputs</t>
  </si>
  <si>
    <t xml:space="preserve">Prompt injection via crafted clinical notes to alter diagnostic suggestions</t>
  </si>
  <si>
    <t xml:space="preserve">Security monitoring, anomaly detection</t>
  </si>
  <si>
    <t xml:space="preserve">INC-07</t>
  </si>
  <si>
    <t xml:space="preserve">Vendor Service Disruption</t>
  </si>
  <si>
    <t xml:space="preserve">FoundationHealth API outage or significant degradation</t>
  </si>
  <si>
    <t xml:space="preserve">API returns errors, timeouts, or unacceptable latency for &gt;15 minutes</t>
  </si>
  <si>
    <t xml:space="preserve">Real-time API health checks</t>
  </si>
  <si>
    <t xml:space="preserve">INC-08</t>
  </si>
  <si>
    <t xml:space="preserve">Data Pipeline Failure</t>
  </si>
  <si>
    <t xml:space="preserve">Failure in data ingestion, de-identification, or processing</t>
  </si>
  <si>
    <t xml:space="preserve">De-identification engine fails; raw patient data sent to model API</t>
  </si>
  <si>
    <t xml:space="preserve">Pipeline health monitoring, automated validation</t>
  </si>
  <si>
    <t xml:space="preserve">INC-09</t>
  </si>
  <si>
    <t xml:space="preserve">Unauthorized Access</t>
  </si>
  <si>
    <t xml:space="preserve">Unauthorized user gains access to system or data</t>
  </si>
  <si>
    <t xml:space="preserve">Compromised physician credentials used to query ClinicalCompanion</t>
  </si>
  <si>
    <t xml:space="preserve">Authentication logs, SIEM alerts</t>
  </si>
  <si>
    <t xml:space="preserve">INC-10</t>
  </si>
  <si>
    <t xml:space="preserve">Regulatory Non-Compliance</t>
  </si>
  <si>
    <t xml:space="preserve">Discovery of non-compliance with applicable regulations</t>
  </si>
  <si>
    <t xml:space="preserve">Post-market monitoring requirement not met per EU AI Act deadline</t>
  </si>
  <si>
    <t xml:space="preserve">Compliance calendar, internal audit</t>
  </si>
  <si>
    <t xml:space="preserve">SECTION C: Severity Classification &amp; Response Times (from severity_levels.csv)</t>
  </si>
  <si>
    <t xml:space="preserve">Severity</t>
  </si>
  <si>
    <t xml:space="preserve">Label</t>
  </si>
  <si>
    <t xml:space="preserve">Definition</t>
  </si>
  <si>
    <t xml:space="preserve">Response Time</t>
  </si>
  <si>
    <t xml:space="preserve">Response
(hours)</t>
  </si>
  <si>
    <t xml:space="preserve">Containment Action</t>
  </si>
  <si>
    <t xml:space="preserve">Incident Commander</t>
  </si>
  <si>
    <t xml:space="preserve">Immediate risk to patient safety or major regulatory violation; system must be halted</t>
  </si>
  <si>
    <t xml:space="preserve">Immediate (30 min)</t>
  </si>
  <si>
    <t xml:space="preserve">Suspend ClinicalCompanion in affected facilities; notify users; preserve logs; activate full response team; notify regulators if required (Art. 62)</t>
  </si>
  <si>
    <t xml:space="preserve">S2</t>
  </si>
  <si>
    <t xml:space="preserve">Potential risk to patient safety or significant compliance issue; urgent action required</t>
  </si>
  <si>
    <t xml:space="preserve">Within 2 hours</t>
  </si>
  <si>
    <t xml:space="preserve">Restrict affected functionality; increase monitoring; notify facility admins; begin root cause analysis</t>
  </si>
  <si>
    <t xml:space="preserve">S3</t>
  </si>
  <si>
    <t xml:space="preserve">Medium</t>
  </si>
  <si>
    <t xml:space="preserve">Degraded performance or moderate compliance concern; prompt action needed</t>
  </si>
  <si>
    <t xml:space="preserve">Within 24 hours</t>
  </si>
  <si>
    <t xml:space="preserve">Implement temporary guardrails; increase monitoring for affected metrics; schedule fix in next sprint</t>
  </si>
  <si>
    <t xml:space="preserve">S4</t>
  </si>
  <si>
    <t xml:space="preserve">Low</t>
  </si>
  <si>
    <t xml:space="preserve">Minor issue with limited impact; scheduled resolution acceptable</t>
  </si>
  <si>
    <t xml:space="preserve">Within 1 week</t>
  </si>
  <si>
    <t xml:space="preserve">Log incident; track in backlog; address in standard development cycle</t>
  </si>
  <si>
    <t xml:space="preserve">Data Science Team Lead</t>
  </si>
  <si>
    <t xml:space="preserve">SECTION D: Your Escalation &amp; Communication Procedures</t>
  </si>
  <si>
    <t xml:space="preserve">Internal Escalation Path:</t>
  </si>
  <si>
    <t xml:space="preserve">Technical alert (S1/S2) triggers immediate notification to Incident Commander (CMO/VP Eng) and AI Governance Lead. Root cause analysis (RCA) initiated within specified response window.</t>
  </si>
  <si>
    <t xml:space="preserve">External Notification (Regulatory):</t>
  </si>
  <si>
    <t xml:space="preserve">In the event of a serious incident (patient harm or major PII breach), EU AI Act Article 62 notification to the competent authority is required within 15 days.</t>
  </si>
  <si>
    <t xml:space="preserve">Communication to Affected Users:</t>
  </si>
  <si>
    <t xml:space="preserve">Affected healthcare providers notified via ClinicalCompanion in-app alert or direct email if system suspension is required. Communication handled by the Medical Affairs team.</t>
  </si>
  <si>
    <t xml:space="preserve">Lessons Learned Process:</t>
  </si>
  <si>
    <t xml:space="preserve">Post-incident review (PIR) conducted by AI Governance Committee within 1 week of resolution. Findings to be incorporated into the next model update or guardrail iteration.</t>
  </si>
  <si>
    <t xml:space="preserve">Monitoring Gaps You Identified:</t>
  </si>
  <si>
    <t xml:space="preserve">Quarterly review of monitor coverage. Current gaps identified: drift monitoring for edge-case lung pathologies and long-term diagnostic bias tracking for minority subgroups.</t>
  </si>
  <si>
    <t xml:space="preserve">EXECUTIVE GOVERNANCE SUMMARY — BOARD BRIEFING</t>
  </si>
  <si>
    <t xml:space="preserve">Synthesize ALL your findings from the notebook and previous sheets into a board-ready summary.</t>
  </si>
  <si>
    <t xml:space="preserve">ClinicalCompanion v1.0 — Clinical Decision Support System (CDSS)</t>
  </si>
  <si>
    <t xml:space="preserve">1. SYSTEM OVERVIEW</t>
  </si>
  <si>
    <t xml:space="preserve">Generative AI-powered system that assists physicians with diagnostic suggestions by analyzing patient records</t>
  </si>
  <si>
    <t xml:space="preserve">System:</t>
  </si>
  <si>
    <t xml:space="preserve">Target Launch: 2025-09-01 (EU market scope)</t>
  </si>
  <si>
    <t xml:space="preserve">Purpose:</t>
  </si>
  <si>
    <t xml:space="preserve">Clinical decision support for pulmonary pathology diagnosis.</t>
  </si>
  <si>
    <t xml:space="preserve">Target Market:</t>
  </si>
  <si>
    <t xml:space="preserve">EU and North American healthcare markets (B2B SaaS).</t>
  </si>
  <si>
    <t xml:space="preserve">2. RISK CLASSIFICATION</t>
  </si>
  <si>
    <t xml:space="preserve">EU AI Act Classification:</t>
  </si>
  <si>
    <t xml:space="preserve">High-Risk AI System (Safety Component / Annex II).</t>
  </si>
  <si>
    <t xml:space="preserve">MDR Classification:</t>
  </si>
  <si>
    <t xml:space="preserve">Class IIb (Software for diagnostic decisions).</t>
  </si>
  <si>
    <t xml:space="preserve">Key Regulatory Obligations:</t>
  </si>
  <si>
    <t xml:space="preserve">Articles 8-15: Quality Management, Technical Docs, Logging, Transparency, Oversight.</t>
  </si>
  <si>
    <t xml:space="preserve">3. COMPLIANCE READINESS</t>
  </si>
  <si>
    <t xml:space="preserve">Overall Readiness:</t>
  </si>
  <si>
    <t xml:space="preserve">CONDITIONAL READINESS</t>
  </si>
  <si>
    <t xml:space="preserve">Critical Gaps:</t>
  </si>
  <si>
    <t xml:space="preserve">6 Critical/High gaps: Dataset Representativeness, MDR Certification, Hallucination Guardrails, Transparency Documentation, Joint RCA protocol, and EU demographics audit.</t>
  </si>
  <si>
    <t xml:space="preserve">Timeline to Full Compliance:</t>
  </si>
  <si>
    <t xml:space="preserve">4. KEY RISKS</t>
  </si>
  <si>
    <t xml:space="preserve">Top Risk:</t>
  </si>
  <si>
    <t xml:space="preserve">Hallucination Risk (Critical): 3.4% rate exceeds target, requiring verification guardrails.</t>
  </si>
  <si>
    <t xml:space="preserve">Risk Landscape:</t>
  </si>
  <si>
    <t xml:space="preserve">Assessments identified 8 risks. Overall average risk score of 15.0.</t>
  </si>
  <si>
    <t xml:space="preserve">Mitigation Effectiveness:</t>
  </si>
  <si>
    <t xml:space="preserve">Mitigations effective, reducing total risk score by 47.5%.</t>
  </si>
  <si>
    <t xml:space="preserve">5. VENDOR ASSESSMENT</t>
  </si>
  <si>
    <t xml:space="preserve">Vendor:</t>
  </si>
  <si>
    <t xml:space="preserve">Conditional launch; monitor vendor performance for hallucination improvements.</t>
  </si>
  <si>
    <t xml:space="preserve">Key Concern:</t>
  </si>
  <si>
    <t xml:space="preserve">Proprietary model 'black-box' nature and dependence on vendor uptime SLA.</t>
  </si>
  <si>
    <t xml:space="preserve">6. MODEL PERFORMANCE</t>
  </si>
  <si>
    <t xml:space="preserve">Overall Accuracy:</t>
  </si>
  <si>
    <t xml:space="preserve">Top-3 Accuracy at 91.7% meets overall target (90%).</t>
  </si>
  <si>
    <t xml:space="preserve">Fairness Concerns:</t>
  </si>
  <si>
    <t xml:space="preserve">Performance gaps in Rare Diseases (71.2%) and Elderly (88.9%) subgroups.</t>
  </si>
  <si>
    <t xml:space="preserve">Critical Issue:</t>
  </si>
  <si>
    <t xml:space="preserve">Hallucination rate at 3.4% requires additional RAG-based verification layers.</t>
  </si>
  <si>
    <t xml:space="preserve">7. BOARD RECOMMENDATION</t>
  </si>
  <si>
    <t xml:space="preserve">Launch Readiness:</t>
  </si>
  <si>
    <t xml:space="preserve">Conditions for Launch:</t>
  </si>
  <si>
    <t xml:space="preserve">Must close Article 10 gaps and obtain final MDR certification.</t>
  </si>
  <si>
    <t xml:space="preserve">Required Actions (prioritized):</t>
  </si>
  <si>
    <t xml:space="preserve">1. Patch dataset gaps; 2. Implement safety filter; 3. Finalize Notified Body audit.</t>
  </si>
  <si>
    <t xml:space="preserve">Estimated Time to Readiness: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</si>
</sst>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0392B"/>
        <bgColor rgb="FFE74C3C"/>
      </patternFill>
    </fill>
    <fill>
      <patternFill patternType="solid">
        <fgColor rgb="FFD5DBDB"/>
        <bgColor rgb="FFBDC3C7"/>
      </patternFill>
    </fill>
    <fill>
      <patternFill patternType="solid">
        <fgColor rgb="FF922B21"/>
        <bgColor rgb="FFC0392B"/>
      </patternFill>
    </fill>
    <fill>
      <patternFill patternType="solid">
        <fgColor rgb="FFF2F3F4"/>
        <bgColor rgb="FFFEF9E7"/>
      </patternFill>
    </fill>
    <fill>
      <patternFill patternType="solid">
        <fgColor rgb="FFFEF9E7"/>
        <bgColor rgb="FFF2F3F4"/>
      </patternFill>
    </fill>
    <fill>
      <patternFill patternType="solid">
        <fgColor rgb="FFD35400"/>
        <bgColor rgb="FFE74C3C"/>
      </patternFill>
    </fill>
    <fill>
      <patternFill patternType="solid">
        <fgColor rgb="FF2980B9"/>
        <bgColor rgb="FF3498D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27AE60"/>
      </patternFill>
    </fill>
    <fill>
      <patternFill patternType="solid">
        <fgColor rgb="FF8E44AD"/>
        <bgColor rgb="FF9B59B6"/>
      </patternFill>
    </fill>
    <fill>
      <patternFill patternType="solid">
        <fgColor rgb="FF229954"/>
        <bgColor rgb="FF27AE60"/>
      </patternFill>
    </fill>
    <fill>
      <patternFill patternType="solid">
        <fgColor rgb="FF6C3483"/>
        <bgColor rgb="FF8E44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35400"/>
      <rgbColor rgb="FF800080"/>
      <rgbColor rgb="FF2980B9"/>
      <rgbColor rgb="FFBDC3C7"/>
      <rgbColor rgb="FF7F8C8D"/>
      <rgbColor rgb="FF9999FF"/>
      <rgbColor rgb="FF6C3483"/>
      <rgbColor rgb="FFFEF9E7"/>
      <rgbColor rgb="FFF2F3F4"/>
      <rgbColor rgb="FF660066"/>
      <rgbColor rgb="FFE74C3C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F9900"/>
      <rgbColor rgb="FFE67E22"/>
      <rgbColor rgb="FF9B59B6"/>
      <rgbColor rgb="FF969696"/>
      <rgbColor rgb="FF003366"/>
      <rgbColor rgb="FF229954"/>
      <rgbColor rgb="FF003300"/>
      <rgbColor rgb="FF333300"/>
      <rgbColor rgb="FF922B21"/>
      <rgbColor rgb="FF8E44AD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35.05" hidden="false" customHeight="false" outlineLevel="0" collapsed="false">
      <c r="A6" s="4" t="s">
        <v>14</v>
      </c>
      <c r="B6" s="4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35.05" hidden="false" customHeight="false" outlineLevel="0" collapsed="false">
      <c r="A7" s="4" t="s">
        <v>20</v>
      </c>
      <c r="B7" s="4" t="s">
        <v>21</v>
      </c>
      <c r="C7" s="5" t="s">
        <v>16</v>
      </c>
      <c r="D7" s="5" t="s">
        <v>22</v>
      </c>
      <c r="E7" s="5" t="s">
        <v>23</v>
      </c>
      <c r="F7" s="5" t="s">
        <v>19</v>
      </c>
    </row>
    <row r="8" customFormat="false" ht="23.85" hidden="false" customHeight="false" outlineLevel="0" collapsed="false">
      <c r="A8" s="4" t="s">
        <v>24</v>
      </c>
      <c r="B8" s="4" t="s">
        <v>25</v>
      </c>
      <c r="C8" s="5" t="s">
        <v>26</v>
      </c>
      <c r="D8" s="5" t="s">
        <v>27</v>
      </c>
      <c r="E8" s="5" t="s">
        <v>28</v>
      </c>
      <c r="F8" s="5" t="s">
        <v>26</v>
      </c>
    </row>
    <row r="10" customFormat="false" ht="15" hidden="false" customHeight="false" outlineLevel="0" collapsed="false">
      <c r="B10" s="0" t="s">
        <v>26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2"/>
      <c r="D11" s="2"/>
      <c r="E11" s="2"/>
      <c r="F11" s="2"/>
    </row>
    <row r="12" customFormat="false" ht="15" hidden="false" customHeight="false" outlineLevel="0" collapsed="false">
      <c r="A12" s="3" t="s">
        <v>31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</row>
    <row r="13" customFormat="false" ht="35.05" hidden="false" customHeight="false" outlineLevel="0" collapsed="false">
      <c r="A13" s="4" t="s">
        <v>37</v>
      </c>
      <c r="B13" s="4" t="s">
        <v>38</v>
      </c>
      <c r="C13" s="4" t="s">
        <v>39</v>
      </c>
      <c r="D13" s="5" t="s">
        <v>40</v>
      </c>
      <c r="E13" s="5" t="s">
        <v>41</v>
      </c>
      <c r="F13" s="5" t="s">
        <v>42</v>
      </c>
    </row>
    <row r="14" customFormat="false" ht="35.05" hidden="false" customHeight="false" outlineLevel="0" collapsed="false">
      <c r="A14" s="4" t="s">
        <v>37</v>
      </c>
      <c r="B14" s="4" t="s">
        <v>43</v>
      </c>
      <c r="C14" s="4" t="s">
        <v>44</v>
      </c>
      <c r="D14" s="5" t="s">
        <v>40</v>
      </c>
      <c r="E14" s="5" t="s">
        <v>45</v>
      </c>
      <c r="F14" s="5" t="s">
        <v>42</v>
      </c>
    </row>
    <row r="15" customFormat="false" ht="35.05" hidden="false" customHeight="false" outlineLevel="0" collapsed="false">
      <c r="A15" s="4" t="s">
        <v>37</v>
      </c>
      <c r="B15" s="4" t="s">
        <v>46</v>
      </c>
      <c r="C15" s="4" t="s">
        <v>47</v>
      </c>
      <c r="D15" s="5" t="s">
        <v>48</v>
      </c>
      <c r="E15" s="5" t="s">
        <v>49</v>
      </c>
      <c r="F15" s="5" t="s">
        <v>50</v>
      </c>
    </row>
    <row r="16" customFormat="false" ht="46.25" hidden="false" customHeight="false" outlineLevel="0" collapsed="false">
      <c r="A16" s="4" t="s">
        <v>51</v>
      </c>
      <c r="B16" s="4" t="s">
        <v>52</v>
      </c>
      <c r="C16" s="4" t="s">
        <v>53</v>
      </c>
      <c r="D16" s="5" t="s">
        <v>48</v>
      </c>
      <c r="E16" s="5" t="s">
        <v>54</v>
      </c>
      <c r="F16" s="5" t="s">
        <v>50</v>
      </c>
    </row>
    <row r="17" customFormat="false" ht="46.25" hidden="false" customHeight="false" outlineLevel="0" collapsed="false">
      <c r="A17" s="4" t="s">
        <v>51</v>
      </c>
      <c r="B17" s="4" t="s">
        <v>55</v>
      </c>
      <c r="C17" s="4" t="s">
        <v>56</v>
      </c>
      <c r="D17" s="5" t="s">
        <v>57</v>
      </c>
      <c r="E17" s="5" t="s">
        <v>58</v>
      </c>
      <c r="F17" s="5" t="s">
        <v>59</v>
      </c>
    </row>
    <row r="18" customFormat="false" ht="46.25" hidden="false" customHeight="false" outlineLevel="0" collapsed="false">
      <c r="A18" s="4" t="s">
        <v>51</v>
      </c>
      <c r="B18" s="4" t="s">
        <v>60</v>
      </c>
      <c r="C18" s="4" t="s">
        <v>61</v>
      </c>
      <c r="D18" s="5" t="s">
        <v>40</v>
      </c>
      <c r="E18" s="5" t="s">
        <v>62</v>
      </c>
      <c r="F18" s="5" t="s">
        <v>42</v>
      </c>
    </row>
    <row r="19" customFormat="false" ht="35.05" hidden="false" customHeight="false" outlineLevel="0" collapsed="false">
      <c r="A19" s="4" t="s">
        <v>63</v>
      </c>
      <c r="B19" s="4" t="s">
        <v>64</v>
      </c>
      <c r="C19" s="4" t="s">
        <v>65</v>
      </c>
      <c r="D19" s="5" t="s">
        <v>48</v>
      </c>
      <c r="E19" s="5" t="s">
        <v>66</v>
      </c>
      <c r="F19" s="5" t="s">
        <v>50</v>
      </c>
    </row>
    <row r="20" customFormat="false" ht="35.05" hidden="false" customHeight="false" outlineLevel="0" collapsed="false">
      <c r="A20" s="4" t="s">
        <v>67</v>
      </c>
      <c r="B20" s="4" t="s">
        <v>68</v>
      </c>
      <c r="C20" s="4" t="s">
        <v>69</v>
      </c>
      <c r="D20" s="5" t="s">
        <v>40</v>
      </c>
      <c r="E20" s="5" t="s">
        <v>70</v>
      </c>
      <c r="F20" s="5" t="s">
        <v>42</v>
      </c>
    </row>
    <row r="21" customFormat="false" ht="35.05" hidden="false" customHeight="false" outlineLevel="0" collapsed="false">
      <c r="A21" s="4" t="s">
        <v>67</v>
      </c>
      <c r="B21" s="4" t="s">
        <v>71</v>
      </c>
      <c r="C21" s="4" t="s">
        <v>72</v>
      </c>
      <c r="D21" s="5" t="s">
        <v>40</v>
      </c>
      <c r="E21" s="5" t="s">
        <v>73</v>
      </c>
      <c r="F21" s="5" t="s">
        <v>42</v>
      </c>
    </row>
    <row r="22" customFormat="false" ht="35.05" hidden="false" customHeight="false" outlineLevel="0" collapsed="false">
      <c r="A22" s="4" t="s">
        <v>74</v>
      </c>
      <c r="B22" s="4" t="s">
        <v>75</v>
      </c>
      <c r="C22" s="4" t="s">
        <v>76</v>
      </c>
      <c r="D22" s="5" t="s">
        <v>40</v>
      </c>
      <c r="E22" s="5" t="s">
        <v>77</v>
      </c>
      <c r="F22" s="5" t="s">
        <v>42</v>
      </c>
    </row>
    <row r="23" customFormat="false" ht="35.05" hidden="false" customHeight="false" outlineLevel="0" collapsed="false">
      <c r="A23" s="4" t="s">
        <v>74</v>
      </c>
      <c r="B23" s="4" t="s">
        <v>78</v>
      </c>
      <c r="C23" s="4" t="s">
        <v>79</v>
      </c>
      <c r="D23" s="5" t="s">
        <v>48</v>
      </c>
      <c r="E23" s="5" t="s">
        <v>80</v>
      </c>
      <c r="F23" s="5" t="s">
        <v>50</v>
      </c>
    </row>
    <row r="24" customFormat="false" ht="35.05" hidden="false" customHeight="false" outlineLevel="0" collapsed="false">
      <c r="A24" s="4" t="s">
        <v>81</v>
      </c>
      <c r="B24" s="4" t="s">
        <v>82</v>
      </c>
      <c r="C24" s="4" t="s">
        <v>83</v>
      </c>
      <c r="D24" s="5" t="s">
        <v>40</v>
      </c>
      <c r="E24" s="5" t="s">
        <v>84</v>
      </c>
      <c r="F24" s="5" t="s">
        <v>42</v>
      </c>
    </row>
    <row r="25" customFormat="false" ht="35.05" hidden="false" customHeight="false" outlineLevel="0" collapsed="false">
      <c r="A25" s="4" t="s">
        <v>81</v>
      </c>
      <c r="B25" s="4" t="s">
        <v>85</v>
      </c>
      <c r="C25" s="4" t="s">
        <v>86</v>
      </c>
      <c r="D25" s="5" t="s">
        <v>40</v>
      </c>
      <c r="E25" s="5" t="s">
        <v>87</v>
      </c>
      <c r="F25" s="5" t="s">
        <v>42</v>
      </c>
    </row>
    <row r="26" customFormat="false" ht="35.05" hidden="false" customHeight="false" outlineLevel="0" collapsed="false">
      <c r="A26" s="4" t="s">
        <v>88</v>
      </c>
      <c r="B26" s="4" t="s">
        <v>89</v>
      </c>
      <c r="C26" s="4" t="s">
        <v>90</v>
      </c>
      <c r="D26" s="5" t="s">
        <v>48</v>
      </c>
      <c r="E26" s="5" t="s">
        <v>91</v>
      </c>
      <c r="F26" s="5" t="s">
        <v>50</v>
      </c>
    </row>
    <row r="27" customFormat="false" ht="35.05" hidden="false" customHeight="false" outlineLevel="0" collapsed="false">
      <c r="A27" s="4" t="s">
        <v>88</v>
      </c>
      <c r="B27" s="4" t="s">
        <v>92</v>
      </c>
      <c r="C27" s="4" t="s">
        <v>93</v>
      </c>
      <c r="D27" s="5" t="s">
        <v>40</v>
      </c>
      <c r="E27" s="5" t="s">
        <v>94</v>
      </c>
      <c r="F27" s="5" t="s">
        <v>42</v>
      </c>
    </row>
    <row r="28" customFormat="false" ht="46.25" hidden="false" customHeight="false" outlineLevel="0" collapsed="false">
      <c r="A28" s="4" t="s">
        <v>88</v>
      </c>
      <c r="B28" s="4" t="s">
        <v>95</v>
      </c>
      <c r="C28" s="4" t="s">
        <v>96</v>
      </c>
      <c r="D28" s="5" t="s">
        <v>40</v>
      </c>
      <c r="E28" s="5" t="s">
        <v>97</v>
      </c>
      <c r="F28" s="5" t="s">
        <v>42</v>
      </c>
    </row>
    <row r="31" customFormat="false" ht="15" hidden="false" customHeight="false" outlineLevel="0" collapsed="false">
      <c r="A31" s="2" t="s">
        <v>98</v>
      </c>
      <c r="B31" s="2"/>
      <c r="C31" s="2"/>
      <c r="D31" s="2"/>
      <c r="E31" s="2"/>
      <c r="F31" s="2"/>
    </row>
    <row r="32" customFormat="false" ht="15" hidden="false" customHeight="true" outlineLevel="0" collapsed="false">
      <c r="A32" s="6" t="s">
        <v>99</v>
      </c>
      <c r="B32" s="5" t="s">
        <v>26</v>
      </c>
      <c r="C32" s="5"/>
      <c r="D32" s="5"/>
      <c r="E32" s="5"/>
      <c r="F32" s="5"/>
    </row>
    <row r="33" customFormat="false" ht="15" hidden="false" customHeight="true" outlineLevel="0" collapsed="false">
      <c r="A33" s="6" t="s">
        <v>100</v>
      </c>
      <c r="B33" s="5" t="s">
        <v>101</v>
      </c>
      <c r="C33" s="5"/>
      <c r="D33" s="5"/>
      <c r="E33" s="5"/>
      <c r="F33" s="5"/>
    </row>
    <row r="34" customFormat="false" ht="15" hidden="false" customHeight="true" outlineLevel="0" collapsed="false">
      <c r="A34" s="6" t="s">
        <v>102</v>
      </c>
      <c r="B34" s="5" t="s">
        <v>103</v>
      </c>
      <c r="C34" s="5"/>
      <c r="D34" s="5"/>
      <c r="E34" s="5"/>
      <c r="F34" s="5"/>
    </row>
    <row r="35" customFormat="false" ht="23.85" hidden="false" customHeight="true" outlineLevel="0" collapsed="false">
      <c r="A35" s="6" t="s">
        <v>104</v>
      </c>
      <c r="B35" s="5" t="s">
        <v>105</v>
      </c>
      <c r="C35" s="5"/>
      <c r="D35" s="5"/>
      <c r="E35" s="5"/>
      <c r="F35" s="5"/>
    </row>
  </sheetData>
  <mergeCells count="5">
    <mergeCell ref="A1:F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9" min="6" style="0" width="13"/>
    <col collapsed="false" customWidth="true" hidden="false" outlineLevel="0" max="10" min="10" style="0" width="50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17.35" hidden="false" customHeight="false" outlineLevel="0" collapsed="false">
      <c r="A1" s="7" t="s">
        <v>106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39.55" hidden="false" customHeight="false" outlineLevel="0" collapsed="false">
      <c r="A3" s="8" t="s">
        <v>107</v>
      </c>
      <c r="B3" s="8" t="s">
        <v>108</v>
      </c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</row>
    <row r="4" customFormat="false" ht="35.05" hidden="false" customHeight="false" outlineLevel="0" collapsed="false">
      <c r="A4" s="4" t="s">
        <v>121</v>
      </c>
      <c r="B4" s="4" t="s">
        <v>122</v>
      </c>
      <c r="C4" s="4" t="s">
        <v>123</v>
      </c>
      <c r="D4" s="4" t="s">
        <v>124</v>
      </c>
      <c r="E4" s="4" t="s">
        <v>125</v>
      </c>
      <c r="F4" s="4" t="n">
        <v>4</v>
      </c>
      <c r="G4" s="4" t="n">
        <v>5</v>
      </c>
      <c r="H4" s="4" t="n">
        <v>20</v>
      </c>
      <c r="I4" s="5" t="s">
        <v>126</v>
      </c>
      <c r="J4" s="5" t="s">
        <v>127</v>
      </c>
      <c r="K4" s="5" t="s">
        <v>128</v>
      </c>
      <c r="L4" s="5" t="n">
        <v>2</v>
      </c>
      <c r="M4" s="5" t="n">
        <v>5</v>
      </c>
      <c r="N4" s="9" t="n">
        <v>10</v>
      </c>
    </row>
    <row r="5" customFormat="false" ht="35.05" hidden="false" customHeight="false" outlineLevel="0" collapsed="false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133</v>
      </c>
      <c r="F5" s="4" t="n">
        <v>4</v>
      </c>
      <c r="G5" s="4" t="n">
        <v>4</v>
      </c>
      <c r="H5" s="4" t="n">
        <f aca="false">F5*G5</f>
        <v>16</v>
      </c>
      <c r="I5" s="5" t="s">
        <v>134</v>
      </c>
      <c r="J5" s="5" t="s">
        <v>135</v>
      </c>
      <c r="K5" s="5" t="s">
        <v>136</v>
      </c>
      <c r="L5" s="5" t="n">
        <v>2</v>
      </c>
      <c r="M5" s="5" t="n">
        <v>4</v>
      </c>
      <c r="N5" s="9" t="n">
        <f aca="false">L5*M5</f>
        <v>8</v>
      </c>
    </row>
    <row r="6" customFormat="false" ht="35.05" hidden="false" customHeight="false" outlineLevel="0" collapsed="false">
      <c r="A6" s="4" t="s">
        <v>137</v>
      </c>
      <c r="B6" s="4" t="s">
        <v>138</v>
      </c>
      <c r="C6" s="4" t="s">
        <v>139</v>
      </c>
      <c r="D6" s="4" t="s">
        <v>140</v>
      </c>
      <c r="E6" s="4" t="s">
        <v>141</v>
      </c>
      <c r="F6" s="4" t="n">
        <v>3</v>
      </c>
      <c r="G6" s="4" t="n">
        <v>5</v>
      </c>
      <c r="H6" s="4" t="n">
        <f aca="false">F6*G6</f>
        <v>15</v>
      </c>
      <c r="I6" s="5" t="s">
        <v>134</v>
      </c>
      <c r="J6" s="5" t="s">
        <v>142</v>
      </c>
      <c r="K6" s="5" t="s">
        <v>128</v>
      </c>
      <c r="L6" s="5" t="n">
        <v>1</v>
      </c>
      <c r="M6" s="5" t="n">
        <v>5</v>
      </c>
      <c r="N6" s="9" t="n">
        <f aca="false">L6*M6</f>
        <v>5</v>
      </c>
    </row>
    <row r="7" customFormat="false" ht="35.05" hidden="false" customHeight="false" outlineLevel="0" collapsed="false">
      <c r="A7" s="4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n">
        <v>3</v>
      </c>
      <c r="G7" s="4" t="n">
        <v>5</v>
      </c>
      <c r="H7" s="4" t="n">
        <f aca="false">F7*G7</f>
        <v>15</v>
      </c>
      <c r="I7" s="5" t="s">
        <v>134</v>
      </c>
      <c r="J7" s="5" t="s">
        <v>148</v>
      </c>
      <c r="K7" s="5" t="s">
        <v>149</v>
      </c>
      <c r="L7" s="5" t="n">
        <v>2</v>
      </c>
      <c r="M7" s="5" t="n">
        <v>5</v>
      </c>
      <c r="N7" s="9" t="n">
        <f aca="false">L7*M7</f>
        <v>10</v>
      </c>
    </row>
    <row r="8" customFormat="false" ht="35.05" hidden="false" customHeight="false" outlineLevel="0" collapsed="false">
      <c r="A8" s="4" t="s">
        <v>150</v>
      </c>
      <c r="B8" s="4" t="s">
        <v>151</v>
      </c>
      <c r="C8" s="4" t="s">
        <v>145</v>
      </c>
      <c r="D8" s="4" t="s">
        <v>152</v>
      </c>
      <c r="E8" s="4" t="s">
        <v>125</v>
      </c>
      <c r="F8" s="4" t="n">
        <v>3</v>
      </c>
      <c r="G8" s="4" t="n">
        <v>4</v>
      </c>
      <c r="H8" s="4" t="n">
        <f aca="false">F8*G8</f>
        <v>12</v>
      </c>
      <c r="I8" s="5" t="s">
        <v>134</v>
      </c>
      <c r="J8" s="5" t="s">
        <v>153</v>
      </c>
      <c r="K8" s="5" t="s">
        <v>136</v>
      </c>
      <c r="L8" s="5" t="n">
        <v>2</v>
      </c>
      <c r="M8" s="5" t="n">
        <v>4</v>
      </c>
      <c r="N8" s="9" t="n">
        <f aca="false">L8*M8</f>
        <v>8</v>
      </c>
    </row>
    <row r="9" customFormat="false" ht="35.05" hidden="false" customHeight="false" outlineLevel="0" collapsed="false">
      <c r="A9" s="4" t="s">
        <v>154</v>
      </c>
      <c r="B9" s="4" t="s">
        <v>122</v>
      </c>
      <c r="C9" s="4" t="s">
        <v>123</v>
      </c>
      <c r="D9" s="4" t="s">
        <v>155</v>
      </c>
      <c r="E9" s="4" t="s">
        <v>125</v>
      </c>
      <c r="F9" s="4" t="n">
        <v>3</v>
      </c>
      <c r="G9" s="4" t="n">
        <v>4</v>
      </c>
      <c r="H9" s="4" t="n">
        <f aca="false">F9*G9</f>
        <v>12</v>
      </c>
      <c r="I9" s="5" t="s">
        <v>134</v>
      </c>
      <c r="J9" s="5" t="s">
        <v>156</v>
      </c>
      <c r="K9" s="5" t="s">
        <v>136</v>
      </c>
      <c r="L9" s="5" t="n">
        <v>2</v>
      </c>
      <c r="M9" s="5" t="n">
        <v>3</v>
      </c>
      <c r="N9" s="9" t="n">
        <f aca="false">L9*M9</f>
        <v>6</v>
      </c>
    </row>
    <row r="10" customFormat="false" ht="35.05" hidden="false" customHeight="false" outlineLevel="0" collapsed="false">
      <c r="A10" s="4" t="s">
        <v>157</v>
      </c>
      <c r="B10" s="4" t="s">
        <v>158</v>
      </c>
      <c r="C10" s="4" t="s">
        <v>131</v>
      </c>
      <c r="D10" s="4" t="s">
        <v>159</v>
      </c>
      <c r="E10" s="4" t="s">
        <v>133</v>
      </c>
      <c r="F10" s="4" t="n">
        <v>3</v>
      </c>
      <c r="G10" s="4" t="n">
        <v>5</v>
      </c>
      <c r="H10" s="4" t="n">
        <f aca="false">F10*G10</f>
        <v>15</v>
      </c>
      <c r="I10" s="5" t="s">
        <v>134</v>
      </c>
      <c r="J10" s="5" t="s">
        <v>160</v>
      </c>
      <c r="K10" s="5" t="s">
        <v>128</v>
      </c>
      <c r="L10" s="5" t="n">
        <v>2</v>
      </c>
      <c r="M10" s="5" t="n">
        <v>4</v>
      </c>
      <c r="N10" s="9" t="n">
        <f aca="false">L10*M10</f>
        <v>8</v>
      </c>
    </row>
    <row r="11" customFormat="false" ht="35.05" hidden="false" customHeight="false" outlineLevel="0" collapsed="false">
      <c r="A11" s="4" t="s">
        <v>161</v>
      </c>
      <c r="B11" s="4" t="s">
        <v>138</v>
      </c>
      <c r="C11" s="4" t="s">
        <v>139</v>
      </c>
      <c r="D11" s="4" t="s">
        <v>162</v>
      </c>
      <c r="E11" s="4" t="s">
        <v>147</v>
      </c>
      <c r="F11" s="4" t="n">
        <v>3</v>
      </c>
      <c r="G11" s="4" t="n">
        <v>5</v>
      </c>
      <c r="H11" s="4" t="n">
        <f aca="false">F11*G11</f>
        <v>15</v>
      </c>
      <c r="I11" s="5" t="s">
        <v>134</v>
      </c>
      <c r="J11" s="5" t="s">
        <v>163</v>
      </c>
      <c r="K11" s="5" t="s">
        <v>128</v>
      </c>
      <c r="L11" s="5" t="n">
        <v>2</v>
      </c>
      <c r="M11" s="5" t="n">
        <v>4</v>
      </c>
      <c r="N11" s="9" t="n">
        <f aca="false">L11*M11</f>
        <v>8</v>
      </c>
    </row>
    <row r="12" customFormat="false" ht="15" hidden="false" customHeight="false" outlineLevel="0" collapsed="false">
      <c r="H12" s="0" t="n">
        <f aca="false">F12*G12</f>
        <v>0</v>
      </c>
      <c r="N12" s="0" t="n">
        <f aca="false">L12*M12</f>
        <v>0</v>
      </c>
    </row>
    <row r="13" customFormat="false" ht="15" hidden="false" customHeight="false" outlineLevel="0" collapsed="false">
      <c r="A13" s="2" t="s">
        <v>164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6" t="s">
        <v>165</v>
      </c>
      <c r="B14" s="10" t="n">
        <v>8</v>
      </c>
      <c r="D14" s="6" t="s">
        <v>166</v>
      </c>
      <c r="E14" s="11" t="n">
        <v>15</v>
      </c>
    </row>
    <row r="15" customFormat="false" ht="15" hidden="false" customHeight="false" outlineLevel="0" collapsed="false">
      <c r="A15" s="6" t="s">
        <v>167</v>
      </c>
      <c r="B15" s="10" t="n">
        <v>1</v>
      </c>
      <c r="D15" s="6" t="s">
        <v>168</v>
      </c>
      <c r="E15" s="10" t="n">
        <v>20</v>
      </c>
    </row>
    <row r="16" customFormat="false" ht="15" hidden="false" customHeight="false" outlineLevel="0" collapsed="false">
      <c r="A16" s="6" t="s">
        <v>169</v>
      </c>
      <c r="B16" s="10" t="n">
        <v>5</v>
      </c>
    </row>
    <row r="18" customFormat="false" ht="15" hidden="false" customHeight="false" outlineLevel="0" collapsed="false">
      <c r="A18" s="2" t="s">
        <v>170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23.85" hidden="false" customHeight="false" outlineLevel="0" collapsed="false">
      <c r="A19" s="4" t="s">
        <v>171</v>
      </c>
      <c r="B19" s="4" t="s">
        <v>172</v>
      </c>
      <c r="C19" s="4" t="s">
        <v>173</v>
      </c>
      <c r="D19" s="4" t="s">
        <v>174</v>
      </c>
      <c r="E19" s="4" t="s">
        <v>175</v>
      </c>
      <c r="F19" s="4" t="s">
        <v>176</v>
      </c>
    </row>
    <row r="20" customFormat="false" ht="15" hidden="false" customHeight="false" outlineLevel="0" collapsed="false">
      <c r="A20" s="4" t="s">
        <v>177</v>
      </c>
      <c r="B20" s="4" t="s">
        <v>178</v>
      </c>
      <c r="C20" s="4" t="s">
        <v>179</v>
      </c>
      <c r="D20" s="4" t="s">
        <v>180</v>
      </c>
      <c r="E20" s="4" t="s">
        <v>181</v>
      </c>
      <c r="F20" s="4" t="s">
        <v>182</v>
      </c>
    </row>
    <row r="21" customFormat="false" ht="15" hidden="false" customHeight="false" outlineLevel="0" collapsed="false">
      <c r="A21" s="4" t="s">
        <v>115</v>
      </c>
      <c r="B21" s="4" t="s">
        <v>183</v>
      </c>
      <c r="C21" s="4" t="s">
        <v>184</v>
      </c>
      <c r="D21" s="4" t="s">
        <v>185</v>
      </c>
      <c r="E21" s="4" t="s">
        <v>186</v>
      </c>
      <c r="F21" s="4" t="s">
        <v>187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20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2" t="s">
        <v>188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2" t="s">
        <v>189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6" t="s">
        <v>190</v>
      </c>
      <c r="B4" s="4" t="s">
        <v>191</v>
      </c>
    </row>
    <row r="5" customFormat="false" ht="15" hidden="false" customHeight="false" outlineLevel="0" collapsed="false">
      <c r="A5" s="6" t="s">
        <v>192</v>
      </c>
      <c r="B5" s="4" t="s">
        <v>193</v>
      </c>
    </row>
    <row r="6" customFormat="false" ht="15" hidden="false" customHeight="false" outlineLevel="0" collapsed="false">
      <c r="A6" s="6" t="s">
        <v>194</v>
      </c>
      <c r="B6" s="4" t="s">
        <v>195</v>
      </c>
    </row>
    <row r="7" customFormat="false" ht="15" hidden="false" customHeight="false" outlineLevel="0" collapsed="false">
      <c r="A7" s="6" t="s">
        <v>196</v>
      </c>
      <c r="B7" s="4" t="s">
        <v>197</v>
      </c>
    </row>
    <row r="8" customFormat="false" ht="15" hidden="false" customHeight="false" outlineLevel="0" collapsed="false">
      <c r="A8" s="6" t="s">
        <v>198</v>
      </c>
      <c r="B8" s="4" t="s">
        <v>199</v>
      </c>
    </row>
    <row r="9" customFormat="false" ht="23.85" hidden="false" customHeight="false" outlineLevel="0" collapsed="false">
      <c r="A9" s="6" t="s">
        <v>200</v>
      </c>
      <c r="B9" s="4" t="s">
        <v>201</v>
      </c>
    </row>
    <row r="10" customFormat="false" ht="15" hidden="false" customHeight="false" outlineLevel="0" collapsed="false">
      <c r="A10" s="6" t="s">
        <v>202</v>
      </c>
      <c r="B10" s="4" t="s">
        <v>203</v>
      </c>
    </row>
    <row r="11" customFormat="false" ht="15" hidden="false" customHeight="false" outlineLevel="0" collapsed="false">
      <c r="A11" s="6" t="s">
        <v>204</v>
      </c>
      <c r="B11" s="4" t="s">
        <v>205</v>
      </c>
    </row>
    <row r="13" customFormat="false" ht="15" hidden="false" customHeight="false" outlineLevel="0" collapsed="false">
      <c r="A13" s="2" t="s">
        <v>206</v>
      </c>
      <c r="B13" s="2"/>
      <c r="C13" s="2"/>
      <c r="D13" s="2"/>
      <c r="E13" s="2"/>
      <c r="F13" s="2"/>
      <c r="G13" s="2"/>
    </row>
    <row r="14" customFormat="false" ht="26.85" hidden="false" customHeight="false" outlineLevel="0" collapsed="false">
      <c r="A14" s="13" t="s">
        <v>207</v>
      </c>
      <c r="B14" s="13" t="s">
        <v>208</v>
      </c>
      <c r="C14" s="13" t="s">
        <v>209</v>
      </c>
      <c r="D14" s="13" t="s">
        <v>210</v>
      </c>
      <c r="E14" s="13" t="s">
        <v>211</v>
      </c>
      <c r="F14" s="13" t="s">
        <v>212</v>
      </c>
      <c r="G14" s="13" t="s">
        <v>213</v>
      </c>
    </row>
    <row r="15" customFormat="false" ht="35.05" hidden="false" customHeight="false" outlineLevel="0" collapsed="false">
      <c r="A15" s="4" t="s">
        <v>214</v>
      </c>
      <c r="B15" s="4" t="n">
        <v>5</v>
      </c>
      <c r="C15" s="5" t="n">
        <v>15</v>
      </c>
      <c r="D15" s="4" t="n">
        <v>25</v>
      </c>
      <c r="E15" s="14" t="n">
        <f aca="false">C15/D15</f>
        <v>0.6</v>
      </c>
      <c r="F15" s="15" t="str">
        <f aca="false">IF(E15&gt;=0.8, "Low Risk", IF(E15&gt;=0.6, "Medium Risk", "High Risk"))</f>
        <v>Medium Risk</v>
      </c>
      <c r="G15" s="5" t="s">
        <v>215</v>
      </c>
    </row>
    <row r="16" customFormat="false" ht="35.05" hidden="false" customHeight="false" outlineLevel="0" collapsed="false">
      <c r="A16" s="4" t="s">
        <v>216</v>
      </c>
      <c r="B16" s="4" t="n">
        <v>6</v>
      </c>
      <c r="C16" s="5" t="n">
        <v>25</v>
      </c>
      <c r="D16" s="4" t="n">
        <v>30</v>
      </c>
      <c r="E16" s="14" t="n">
        <f aca="false">C16/D16</f>
        <v>0.833333333333333</v>
      </c>
      <c r="F16" s="16" t="str">
        <f aca="false">IF(E16&gt;=0.8, "Low Risk", IF(E16&gt;=0.6, "Medium Risk", "High Risk"))</f>
        <v>Low Risk</v>
      </c>
      <c r="G16" s="5" t="s">
        <v>217</v>
      </c>
    </row>
    <row r="17" customFormat="false" ht="35.05" hidden="false" customHeight="false" outlineLevel="0" collapsed="false">
      <c r="A17" s="4" t="s">
        <v>218</v>
      </c>
      <c r="B17" s="4" t="n">
        <v>5</v>
      </c>
      <c r="C17" s="5" t="n">
        <v>15</v>
      </c>
      <c r="D17" s="4" t="n">
        <v>25</v>
      </c>
      <c r="E17" s="14" t="n">
        <f aca="false">C17/D17</f>
        <v>0.6</v>
      </c>
      <c r="F17" s="15" t="str">
        <f aca="false">IF(E17&gt;=0.8, "Low Risk", IF(E17&gt;=0.6, "Medium Risk", "High Risk"))</f>
        <v>Medium Risk</v>
      </c>
      <c r="G17" s="5" t="s">
        <v>219</v>
      </c>
    </row>
    <row r="18" customFormat="false" ht="23.85" hidden="false" customHeight="false" outlineLevel="0" collapsed="false">
      <c r="A18" s="4" t="s">
        <v>220</v>
      </c>
      <c r="B18" s="4" t="n">
        <v>18</v>
      </c>
      <c r="C18" s="5" t="n">
        <v>18</v>
      </c>
      <c r="D18" s="4" t="n">
        <v>30</v>
      </c>
      <c r="E18" s="14" t="n">
        <f aca="false">C18/D18</f>
        <v>0.6</v>
      </c>
      <c r="F18" s="15" t="str">
        <f aca="false">IF(E18&gt;=0.8, "Low Risk", IF(E18&gt;=0.6, "Medium Risk", "High Risk"))</f>
        <v>Medium Risk</v>
      </c>
      <c r="G18" s="5" t="s">
        <v>221</v>
      </c>
    </row>
    <row r="19" customFormat="false" ht="23.85" hidden="false" customHeight="false" outlineLevel="0" collapsed="false">
      <c r="A19" s="4" t="s">
        <v>222</v>
      </c>
      <c r="B19" s="4" t="n">
        <v>15</v>
      </c>
      <c r="C19" s="5" t="n">
        <v>15</v>
      </c>
      <c r="D19" s="4" t="n">
        <v>25</v>
      </c>
      <c r="E19" s="14" t="n">
        <f aca="false">C19/D19</f>
        <v>0.6</v>
      </c>
      <c r="F19" s="15" t="str">
        <f aca="false">IF(E19&gt;=0.8, "Low Risk", IF(E19&gt;=0.6, "Medium Risk", "High Risk"))</f>
        <v>Medium Risk</v>
      </c>
      <c r="G19" s="5" t="s">
        <v>223</v>
      </c>
    </row>
    <row r="20" customFormat="false" ht="23.85" hidden="false" customHeight="false" outlineLevel="0" collapsed="false">
      <c r="A20" s="6" t="s">
        <v>224</v>
      </c>
      <c r="B20" s="4" t="n">
        <v>27</v>
      </c>
      <c r="C20" s="10" t="n">
        <v>88</v>
      </c>
      <c r="D20" s="4" t="n">
        <v>135</v>
      </c>
      <c r="E20" s="17" t="n">
        <f aca="false">C20/D20</f>
        <v>0.651851851851852</v>
      </c>
      <c r="F20" s="15" t="str">
        <f aca="false">IF(E20&gt;=0.8, "Low Risk", IF(E20&gt;=0.6, "Medium Risk", "High Risk"))</f>
        <v>Medium Risk</v>
      </c>
      <c r="G20" s="5" t="s">
        <v>225</v>
      </c>
    </row>
    <row r="21" customFormat="false" ht="15" hidden="false" customHeight="false" outlineLevel="0" collapsed="false">
      <c r="A21" s="6" t="s">
        <v>226</v>
      </c>
      <c r="B21" s="4" t="s">
        <v>227</v>
      </c>
      <c r="C21" s="4" t="s">
        <v>228</v>
      </c>
      <c r="D21" s="4" t="s">
        <v>229</v>
      </c>
    </row>
    <row r="23" customFormat="false" ht="15" hidden="false" customHeight="false" outlineLevel="0" collapsed="false">
      <c r="A23" s="2" t="s">
        <v>230</v>
      </c>
      <c r="B23" s="2"/>
      <c r="C23" s="2"/>
      <c r="D23" s="2"/>
      <c r="E23" s="2"/>
      <c r="F23" s="2"/>
      <c r="G23" s="2"/>
    </row>
    <row r="24" customFormat="false" ht="15" hidden="false" customHeight="true" outlineLevel="0" collapsed="false">
      <c r="A24" s="6" t="s">
        <v>231</v>
      </c>
      <c r="B24" s="5" t="s">
        <v>232</v>
      </c>
      <c r="C24" s="5"/>
      <c r="D24" s="5"/>
      <c r="E24" s="5"/>
      <c r="F24" s="5"/>
      <c r="G24" s="5"/>
    </row>
    <row r="25" customFormat="false" ht="15" hidden="false" customHeight="true" outlineLevel="0" collapsed="false">
      <c r="A25" s="6" t="s">
        <v>233</v>
      </c>
      <c r="B25" s="5" t="s">
        <v>234</v>
      </c>
      <c r="C25" s="5"/>
      <c r="D25" s="5"/>
      <c r="E25" s="5"/>
      <c r="F25" s="5"/>
      <c r="G25" s="5"/>
    </row>
    <row r="26" customFormat="false" ht="15" hidden="false" customHeight="true" outlineLevel="0" collapsed="false">
      <c r="A26" s="6" t="s">
        <v>235</v>
      </c>
      <c r="B26" s="5" t="s">
        <v>236</v>
      </c>
      <c r="C26" s="5"/>
      <c r="D26" s="5"/>
      <c r="E26" s="5"/>
      <c r="F26" s="5"/>
      <c r="G26" s="5"/>
    </row>
    <row r="27" customFormat="false" ht="15" hidden="false" customHeight="true" outlineLevel="0" collapsed="false">
      <c r="A27" s="6" t="s">
        <v>237</v>
      </c>
      <c r="B27" s="5" t="s">
        <v>238</v>
      </c>
      <c r="C27" s="5"/>
      <c r="D27" s="5"/>
      <c r="E27" s="5"/>
      <c r="F27" s="5"/>
      <c r="G27" s="5"/>
    </row>
    <row r="28" customFormat="false" ht="15" hidden="false" customHeight="true" outlineLevel="0" collapsed="false">
      <c r="A28" s="6" t="s">
        <v>239</v>
      </c>
      <c r="B28" s="5" t="s">
        <v>240</v>
      </c>
      <c r="C28" s="5"/>
      <c r="D28" s="5"/>
      <c r="E28" s="5"/>
      <c r="F28" s="5"/>
      <c r="G28" s="5"/>
    </row>
  </sheetData>
  <mergeCells count="6">
    <mergeCell ref="A1:G1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5"/>
  </cols>
  <sheetData>
    <row r="1" customFormat="false" ht="17.35" hidden="false" customHeight="false" outlineLevel="0" collapsed="false">
      <c r="A1" s="18" t="s">
        <v>241</v>
      </c>
      <c r="B1" s="18"/>
      <c r="C1" s="18"/>
      <c r="D1" s="18"/>
    </row>
    <row r="3" customFormat="false" ht="15" hidden="false" customHeight="false" outlineLevel="0" collapsed="false">
      <c r="A3" s="2" t="s">
        <v>242</v>
      </c>
      <c r="B3" s="2"/>
      <c r="C3" s="2"/>
      <c r="D3" s="2"/>
    </row>
    <row r="4" customFormat="false" ht="15" hidden="false" customHeight="true" outlineLevel="0" collapsed="false">
      <c r="A4" s="6" t="s">
        <v>243</v>
      </c>
      <c r="B4" s="4" t="s">
        <v>244</v>
      </c>
      <c r="C4" s="4"/>
      <c r="D4" s="4"/>
    </row>
    <row r="5" customFormat="false" ht="15" hidden="false" customHeight="true" outlineLevel="0" collapsed="false">
      <c r="A5" s="6" t="s">
        <v>245</v>
      </c>
      <c r="B5" s="4" t="s">
        <v>246</v>
      </c>
      <c r="C5" s="4"/>
      <c r="D5" s="4"/>
    </row>
    <row r="6" customFormat="false" ht="15" hidden="false" customHeight="true" outlineLevel="0" collapsed="false">
      <c r="A6" s="6" t="s">
        <v>247</v>
      </c>
      <c r="B6" s="4" t="s">
        <v>248</v>
      </c>
      <c r="C6" s="4"/>
      <c r="D6" s="4"/>
    </row>
    <row r="7" customFormat="false" ht="15" hidden="false" customHeight="true" outlineLevel="0" collapsed="false">
      <c r="A7" s="6" t="s">
        <v>249</v>
      </c>
      <c r="B7" s="4" t="s">
        <v>250</v>
      </c>
      <c r="C7" s="4"/>
      <c r="D7" s="4"/>
    </row>
    <row r="8" customFormat="false" ht="15" hidden="false" customHeight="true" outlineLevel="0" collapsed="false">
      <c r="A8" s="6" t="s">
        <v>251</v>
      </c>
      <c r="B8" s="4" t="s">
        <v>252</v>
      </c>
      <c r="C8" s="4"/>
      <c r="D8" s="4"/>
    </row>
    <row r="9" customFormat="false" ht="15" hidden="false" customHeight="true" outlineLevel="0" collapsed="false">
      <c r="A9" s="6" t="s">
        <v>253</v>
      </c>
      <c r="B9" s="4" t="s">
        <v>254</v>
      </c>
      <c r="C9" s="4"/>
      <c r="D9" s="4"/>
    </row>
    <row r="10" customFormat="false" ht="15" hidden="false" customHeight="true" outlineLevel="0" collapsed="false">
      <c r="A10" s="6" t="s">
        <v>255</v>
      </c>
      <c r="B10" s="4" t="s">
        <v>256</v>
      </c>
      <c r="C10" s="4"/>
      <c r="D10" s="4"/>
    </row>
    <row r="11" customFormat="false" ht="15" hidden="false" customHeight="true" outlineLevel="0" collapsed="false">
      <c r="A11" s="6" t="s">
        <v>257</v>
      </c>
      <c r="B11" s="4" t="s">
        <v>191</v>
      </c>
      <c r="C11" s="4"/>
      <c r="D11" s="4"/>
    </row>
    <row r="13" customFormat="false" ht="15" hidden="false" customHeight="false" outlineLevel="0" collapsed="false">
      <c r="A13" s="2" t="s">
        <v>258</v>
      </c>
      <c r="B13" s="2"/>
      <c r="C13" s="2"/>
      <c r="D13" s="2"/>
    </row>
    <row r="14" customFormat="false" ht="23.85" hidden="false" customHeight="true" outlineLevel="0" collapsed="false">
      <c r="A14" s="6" t="s">
        <v>259</v>
      </c>
      <c r="B14" s="4" t="s">
        <v>260</v>
      </c>
      <c r="C14" s="4"/>
      <c r="D14" s="4"/>
    </row>
    <row r="15" customFormat="false" ht="23.85" hidden="false" customHeight="true" outlineLevel="0" collapsed="false">
      <c r="A15" s="6" t="s">
        <v>261</v>
      </c>
      <c r="B15" s="4" t="s">
        <v>262</v>
      </c>
      <c r="C15" s="4"/>
      <c r="D15" s="4"/>
    </row>
    <row r="16" customFormat="false" ht="23.85" hidden="false" customHeight="true" outlineLevel="0" collapsed="false">
      <c r="A16" s="6" t="s">
        <v>263</v>
      </c>
      <c r="B16" s="4" t="s">
        <v>264</v>
      </c>
      <c r="C16" s="4"/>
      <c r="D16" s="4"/>
    </row>
    <row r="18" customFormat="false" ht="15" hidden="false" customHeight="false" outlineLevel="0" collapsed="false">
      <c r="A18" s="2" t="s">
        <v>265</v>
      </c>
      <c r="B18" s="2"/>
      <c r="C18" s="2"/>
      <c r="D18" s="2"/>
    </row>
    <row r="19" customFormat="false" ht="15" hidden="false" customHeight="false" outlineLevel="0" collapsed="false">
      <c r="A19" s="6" t="s">
        <v>266</v>
      </c>
      <c r="B19" s="4" t="s">
        <v>267</v>
      </c>
      <c r="C19" s="4" t="s">
        <v>268</v>
      </c>
      <c r="D19" s="4" t="s">
        <v>269</v>
      </c>
    </row>
    <row r="20" customFormat="false" ht="15" hidden="false" customHeight="false" outlineLevel="0" collapsed="false">
      <c r="A20" s="6" t="s">
        <v>270</v>
      </c>
      <c r="B20" s="4" t="s">
        <v>271</v>
      </c>
      <c r="C20" s="4" t="s">
        <v>272</v>
      </c>
      <c r="D20" s="4" t="s">
        <v>269</v>
      </c>
    </row>
    <row r="21" customFormat="false" ht="15" hidden="false" customHeight="false" outlineLevel="0" collapsed="false">
      <c r="A21" s="6" t="s">
        <v>273</v>
      </c>
      <c r="B21" s="4" t="s">
        <v>274</v>
      </c>
      <c r="C21" s="4" t="s">
        <v>275</v>
      </c>
      <c r="D21" s="4" t="s">
        <v>276</v>
      </c>
    </row>
    <row r="22" customFormat="false" ht="15" hidden="false" customHeight="false" outlineLevel="0" collapsed="false">
      <c r="A22" s="6" t="s">
        <v>277</v>
      </c>
      <c r="B22" s="4" t="s">
        <v>278</v>
      </c>
      <c r="C22" s="4" t="s">
        <v>279</v>
      </c>
      <c r="D22" s="4" t="s">
        <v>280</v>
      </c>
    </row>
    <row r="23" customFormat="false" ht="15" hidden="false" customHeight="false" outlineLevel="0" collapsed="false">
      <c r="A23" s="6" t="s">
        <v>281</v>
      </c>
      <c r="B23" s="4" t="s">
        <v>282</v>
      </c>
      <c r="C23" s="4" t="s">
        <v>283</v>
      </c>
      <c r="D23" s="4" t="s">
        <v>284</v>
      </c>
    </row>
    <row r="24" customFormat="false" ht="15" hidden="false" customHeight="false" outlineLevel="0" collapsed="false">
      <c r="A24" s="6" t="s">
        <v>285</v>
      </c>
      <c r="B24" s="4" t="s">
        <v>286</v>
      </c>
    </row>
    <row r="26" customFormat="false" ht="15" hidden="false" customHeight="false" outlineLevel="0" collapsed="false">
      <c r="A26" s="2" t="s">
        <v>287</v>
      </c>
      <c r="B26" s="2"/>
      <c r="C26" s="2"/>
      <c r="D26" s="2"/>
    </row>
    <row r="27" customFormat="false" ht="15" hidden="false" customHeight="true" outlineLevel="0" collapsed="false">
      <c r="A27" s="6" t="s">
        <v>288</v>
      </c>
      <c r="B27" s="5" t="s">
        <v>289</v>
      </c>
      <c r="C27" s="5"/>
      <c r="D27" s="5"/>
    </row>
    <row r="28" customFormat="false" ht="15" hidden="false" customHeight="true" outlineLevel="0" collapsed="false">
      <c r="A28" s="6" t="s">
        <v>290</v>
      </c>
      <c r="B28" s="5" t="s">
        <v>291</v>
      </c>
      <c r="C28" s="5"/>
      <c r="D28" s="5"/>
    </row>
    <row r="29" customFormat="false" ht="15" hidden="false" customHeight="true" outlineLevel="0" collapsed="false">
      <c r="A29" s="6" t="s">
        <v>292</v>
      </c>
      <c r="B29" s="5" t="s">
        <v>293</v>
      </c>
      <c r="C29" s="5"/>
      <c r="D29" s="5"/>
    </row>
    <row r="30" customFormat="false" ht="15" hidden="false" customHeight="true" outlineLevel="0" collapsed="false">
      <c r="A30" s="6" t="s">
        <v>294</v>
      </c>
      <c r="B30" s="5" t="s">
        <v>295</v>
      </c>
      <c r="C30" s="5"/>
      <c r="D30" s="5"/>
    </row>
    <row r="31" customFormat="false" ht="15" hidden="false" customHeight="true" outlineLevel="0" collapsed="false">
      <c r="A31" s="6" t="s">
        <v>296</v>
      </c>
      <c r="B31" s="5" t="s">
        <v>297</v>
      </c>
      <c r="C31" s="5"/>
      <c r="D31" s="5"/>
    </row>
    <row r="33" customFormat="false" ht="15" hidden="false" customHeight="false" outlineLevel="0" collapsed="false">
      <c r="A33" s="2" t="s">
        <v>298</v>
      </c>
      <c r="B33" s="2"/>
      <c r="C33" s="2"/>
      <c r="D33" s="2"/>
    </row>
    <row r="34" customFormat="false" ht="15" hidden="false" customHeight="true" outlineLevel="0" collapsed="false">
      <c r="A34" s="6" t="s">
        <v>299</v>
      </c>
      <c r="B34" s="5" t="s">
        <v>300</v>
      </c>
      <c r="C34" s="5"/>
      <c r="D34" s="5"/>
    </row>
    <row r="35" customFormat="false" ht="15" hidden="false" customHeight="true" outlineLevel="0" collapsed="false">
      <c r="A35" s="6" t="s">
        <v>301</v>
      </c>
      <c r="B35" s="5" t="s">
        <v>302</v>
      </c>
      <c r="C35" s="5"/>
      <c r="D35" s="5"/>
    </row>
    <row r="36" customFormat="false" ht="15" hidden="false" customHeight="true" outlineLevel="0" collapsed="false">
      <c r="A36" s="6" t="s">
        <v>303</v>
      </c>
      <c r="B36" s="5" t="s">
        <v>304</v>
      </c>
      <c r="C36" s="5"/>
      <c r="D36" s="5"/>
    </row>
    <row r="37" customFormat="false" ht="15" hidden="false" customHeight="true" outlineLevel="0" collapsed="false">
      <c r="A37" s="6" t="s">
        <v>305</v>
      </c>
      <c r="B37" s="5" t="s">
        <v>306</v>
      </c>
      <c r="C37" s="5"/>
      <c r="D37" s="5"/>
    </row>
    <row r="38" customFormat="false" ht="15" hidden="false" customHeight="true" outlineLevel="0" collapsed="false">
      <c r="A38" s="6" t="s">
        <v>307</v>
      </c>
      <c r="B38" s="5" t="s">
        <v>308</v>
      </c>
      <c r="C38" s="5"/>
      <c r="D38" s="5"/>
    </row>
    <row r="39" customFormat="false" ht="15" hidden="false" customHeight="true" outlineLevel="0" collapsed="false">
      <c r="A39" s="6" t="s">
        <v>309</v>
      </c>
      <c r="B39" s="5" t="s">
        <v>310</v>
      </c>
      <c r="C39" s="5"/>
      <c r="D39" s="5"/>
    </row>
    <row r="40" customFormat="false" ht="15" hidden="false" customHeight="true" outlineLevel="0" collapsed="false">
      <c r="A40" s="6" t="s">
        <v>311</v>
      </c>
      <c r="B40" s="5" t="s">
        <v>312</v>
      </c>
      <c r="C40" s="5"/>
      <c r="D40" s="5"/>
    </row>
    <row r="42" customFormat="false" ht="15" hidden="false" customHeight="false" outlineLevel="0" collapsed="false">
      <c r="A42" s="2" t="s">
        <v>313</v>
      </c>
      <c r="B42" s="2" t="s">
        <v>300</v>
      </c>
      <c r="C42" s="2"/>
      <c r="D42" s="2"/>
    </row>
    <row r="43" customFormat="false" ht="15" hidden="false" customHeight="true" outlineLevel="0" collapsed="false">
      <c r="A43" s="6" t="s">
        <v>314</v>
      </c>
      <c r="B43" s="5" t="s">
        <v>315</v>
      </c>
      <c r="C43" s="5"/>
      <c r="D43" s="5"/>
    </row>
    <row r="44" customFormat="false" ht="15" hidden="false" customHeight="true" outlineLevel="0" collapsed="false">
      <c r="A44" s="6" t="s">
        <v>316</v>
      </c>
      <c r="B44" s="5" t="s">
        <v>317</v>
      </c>
      <c r="C44" s="5"/>
      <c r="D44" s="5"/>
    </row>
    <row r="45" customFormat="false" ht="15" hidden="false" customHeight="false" outlineLevel="0" collapsed="false">
      <c r="A45" s="6" t="s">
        <v>318</v>
      </c>
      <c r="B45" s="5"/>
      <c r="C45" s="5"/>
      <c r="D45" s="5"/>
    </row>
    <row r="47" customFormat="false" ht="15" hidden="false" customHeight="false" outlineLevel="0" collapsed="false">
      <c r="A47" s="2" t="s">
        <v>319</v>
      </c>
      <c r="B47" s="2"/>
      <c r="C47" s="2"/>
      <c r="D47" s="2"/>
    </row>
    <row r="48" customFormat="false" ht="15" hidden="false" customHeight="true" outlineLevel="0" collapsed="false">
      <c r="A48" s="6" t="s">
        <v>320</v>
      </c>
      <c r="B48" s="5" t="s">
        <v>321</v>
      </c>
      <c r="C48" s="5"/>
      <c r="D48" s="5"/>
    </row>
    <row r="49" customFormat="false" ht="15" hidden="false" customHeight="true" outlineLevel="0" collapsed="false">
      <c r="A49" s="6" t="s">
        <v>322</v>
      </c>
      <c r="B49" s="5" t="s">
        <v>323</v>
      </c>
      <c r="C49" s="5"/>
      <c r="D49" s="5"/>
    </row>
    <row r="50" customFormat="false" ht="15" hidden="false" customHeight="true" outlineLevel="0" collapsed="false">
      <c r="A50" s="6" t="s">
        <v>324</v>
      </c>
      <c r="B50" s="5" t="s">
        <v>325</v>
      </c>
      <c r="C50" s="5"/>
      <c r="D50" s="5"/>
    </row>
    <row r="51" customFormat="false" ht="15" hidden="false" customHeight="true" outlineLevel="0" collapsed="false">
      <c r="A51" s="6" t="s">
        <v>326</v>
      </c>
      <c r="B51" s="5" t="s">
        <v>327</v>
      </c>
      <c r="C51" s="5"/>
      <c r="D51" s="5"/>
    </row>
    <row r="53" customFormat="false" ht="15" hidden="false" customHeight="false" outlineLevel="0" collapsed="false">
      <c r="A53" s="2" t="s">
        <v>328</v>
      </c>
      <c r="B53" s="2"/>
      <c r="C53" s="2"/>
      <c r="D53" s="2"/>
    </row>
    <row r="54" customFormat="false" ht="15" hidden="false" customHeight="true" outlineLevel="0" collapsed="false">
      <c r="A54" s="6" t="s">
        <v>329</v>
      </c>
      <c r="B54" s="5" t="s">
        <v>330</v>
      </c>
      <c r="C54" s="5"/>
      <c r="D54" s="5"/>
    </row>
    <row r="55" customFormat="false" ht="15" hidden="false" customHeight="true" outlineLevel="0" collapsed="false">
      <c r="A55" s="6" t="s">
        <v>331</v>
      </c>
      <c r="B55" s="5" t="s">
        <v>332</v>
      </c>
      <c r="C55" s="5"/>
      <c r="D55" s="5"/>
    </row>
    <row r="56" customFormat="false" ht="15" hidden="false" customHeight="true" outlineLevel="0" collapsed="false">
      <c r="A56" s="6" t="s">
        <v>333</v>
      </c>
      <c r="B56" s="5" t="s">
        <v>334</v>
      </c>
      <c r="C56" s="5"/>
      <c r="D56" s="5"/>
    </row>
    <row r="57" customFormat="false" ht="15" hidden="false" customHeight="true" outlineLevel="0" collapsed="false">
      <c r="A57" s="6" t="s">
        <v>335</v>
      </c>
      <c r="B57" s="5" t="s">
        <v>336</v>
      </c>
      <c r="C57" s="5"/>
      <c r="D57" s="5"/>
    </row>
    <row r="59" customFormat="false" ht="15" hidden="false" customHeight="false" outlineLevel="0" collapsed="false">
      <c r="A59" s="2" t="s">
        <v>337</v>
      </c>
      <c r="B59" s="2"/>
      <c r="C59" s="2"/>
      <c r="D59" s="2"/>
    </row>
    <row r="60" customFormat="false" ht="15" hidden="false" customHeight="true" outlineLevel="0" collapsed="false">
      <c r="A60" s="6" t="s">
        <v>338</v>
      </c>
      <c r="B60" s="5" t="s">
        <v>339</v>
      </c>
      <c r="C60" s="5"/>
      <c r="D60" s="5"/>
    </row>
    <row r="61" customFormat="false" ht="15" hidden="false" customHeight="true" outlineLevel="0" collapsed="false">
      <c r="A61" s="6" t="s">
        <v>340</v>
      </c>
      <c r="B61" s="5" t="s">
        <v>341</v>
      </c>
      <c r="C61" s="5"/>
      <c r="D61" s="5"/>
    </row>
  </sheetData>
  <mergeCells count="37">
    <mergeCell ref="A1:D1"/>
    <mergeCell ref="B4:D4"/>
    <mergeCell ref="B5:D5"/>
    <mergeCell ref="B6:D6"/>
    <mergeCell ref="B7:D7"/>
    <mergeCell ref="B8:D8"/>
    <mergeCell ref="B9:D9"/>
    <mergeCell ref="B10:D10"/>
    <mergeCell ref="B11:D11"/>
    <mergeCell ref="B14:D14"/>
    <mergeCell ref="B15:D15"/>
    <mergeCell ref="B16:D16"/>
    <mergeCell ref="B27:D27"/>
    <mergeCell ref="B28:D28"/>
    <mergeCell ref="B29:D29"/>
    <mergeCell ref="B30:D30"/>
    <mergeCell ref="B31:D31"/>
    <mergeCell ref="B34:D34"/>
    <mergeCell ref="B35:D35"/>
    <mergeCell ref="B36:D36"/>
    <mergeCell ref="B37:D37"/>
    <mergeCell ref="B38:D38"/>
    <mergeCell ref="B39:D39"/>
    <mergeCell ref="B40:D40"/>
    <mergeCell ref="B43:D43"/>
    <mergeCell ref="B44:D44"/>
    <mergeCell ref="B45:D45"/>
    <mergeCell ref="B48:D48"/>
    <mergeCell ref="B49:D49"/>
    <mergeCell ref="B50:D50"/>
    <mergeCell ref="B51:D51"/>
    <mergeCell ref="B54:D54"/>
    <mergeCell ref="B55:D55"/>
    <mergeCell ref="B56:D56"/>
    <mergeCell ref="B57:D57"/>
    <mergeCell ref="B60:D60"/>
    <mergeCell ref="B61:D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3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8" min="7" style="0" width="22"/>
  </cols>
  <sheetData>
    <row r="1" customFormat="false" ht="17.35" hidden="false" customHeight="false" outlineLevel="0" collapsed="false">
      <c r="A1" s="19" t="s">
        <v>342</v>
      </c>
      <c r="B1" s="19"/>
      <c r="C1" s="19"/>
      <c r="D1" s="19"/>
      <c r="E1" s="19"/>
      <c r="F1" s="19"/>
      <c r="G1" s="19"/>
      <c r="H1" s="19"/>
    </row>
    <row r="3" customFormat="false" ht="15" hidden="false" customHeight="false" outlineLevel="0" collapsed="false">
      <c r="A3" s="2" t="s">
        <v>343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0" t="s">
        <v>344</v>
      </c>
      <c r="B4" s="20" t="s">
        <v>345</v>
      </c>
      <c r="C4" s="20" t="s">
        <v>346</v>
      </c>
      <c r="D4" s="20" t="s">
        <v>347</v>
      </c>
      <c r="E4" s="20" t="s">
        <v>348</v>
      </c>
      <c r="F4" s="20" t="s">
        <v>349</v>
      </c>
      <c r="G4" s="20" t="s">
        <v>350</v>
      </c>
      <c r="H4" s="20" t="s">
        <v>351</v>
      </c>
    </row>
    <row r="5" customFormat="false" ht="23.85" hidden="false" customHeight="false" outlineLevel="0" collapsed="false">
      <c r="A5" s="4" t="s">
        <v>352</v>
      </c>
      <c r="B5" s="4" t="s">
        <v>353</v>
      </c>
      <c r="C5" s="4" t="s">
        <v>354</v>
      </c>
      <c r="D5" s="4" t="s">
        <v>355</v>
      </c>
      <c r="E5" s="4" t="s">
        <v>356</v>
      </c>
      <c r="F5" s="4" t="s">
        <v>357</v>
      </c>
      <c r="G5" s="4" t="s">
        <v>358</v>
      </c>
      <c r="H5" s="4" t="s">
        <v>359</v>
      </c>
    </row>
    <row r="6" customFormat="false" ht="23.85" hidden="false" customHeight="false" outlineLevel="0" collapsed="false">
      <c r="A6" s="4" t="s">
        <v>360</v>
      </c>
      <c r="B6" s="4" t="s">
        <v>353</v>
      </c>
      <c r="C6" s="4" t="s">
        <v>361</v>
      </c>
      <c r="D6" s="4" t="s">
        <v>362</v>
      </c>
      <c r="E6" s="4" t="s">
        <v>363</v>
      </c>
      <c r="F6" s="4" t="s">
        <v>364</v>
      </c>
      <c r="G6" s="4" t="s">
        <v>365</v>
      </c>
      <c r="H6" s="4" t="s">
        <v>359</v>
      </c>
    </row>
    <row r="7" customFormat="false" ht="23.85" hidden="false" customHeight="false" outlineLevel="0" collapsed="false">
      <c r="A7" s="4" t="s">
        <v>366</v>
      </c>
      <c r="B7" s="4" t="s">
        <v>353</v>
      </c>
      <c r="C7" s="4" t="s">
        <v>367</v>
      </c>
      <c r="D7" s="4" t="s">
        <v>368</v>
      </c>
      <c r="E7" s="4" t="s">
        <v>369</v>
      </c>
      <c r="F7" s="4" t="s">
        <v>370</v>
      </c>
      <c r="G7" s="4" t="s">
        <v>371</v>
      </c>
      <c r="H7" s="4" t="s">
        <v>372</v>
      </c>
    </row>
    <row r="8" customFormat="false" ht="23.85" hidden="false" customHeight="false" outlineLevel="0" collapsed="false">
      <c r="A8" s="4" t="s">
        <v>373</v>
      </c>
      <c r="B8" s="4" t="s">
        <v>353</v>
      </c>
      <c r="C8" s="4" t="s">
        <v>374</v>
      </c>
      <c r="D8" s="4" t="s">
        <v>375</v>
      </c>
      <c r="E8" s="4" t="s">
        <v>376</v>
      </c>
      <c r="F8" s="4" t="s">
        <v>377</v>
      </c>
      <c r="G8" s="4" t="s">
        <v>378</v>
      </c>
      <c r="H8" s="4" t="s">
        <v>359</v>
      </c>
    </row>
    <row r="9" customFormat="false" ht="23.85" hidden="false" customHeight="false" outlineLevel="0" collapsed="false">
      <c r="A9" s="4" t="s">
        <v>379</v>
      </c>
      <c r="B9" s="4" t="s">
        <v>353</v>
      </c>
      <c r="C9" s="4" t="s">
        <v>380</v>
      </c>
      <c r="D9" s="4" t="s">
        <v>381</v>
      </c>
      <c r="E9" s="4" t="s">
        <v>369</v>
      </c>
      <c r="F9" s="4" t="s">
        <v>382</v>
      </c>
      <c r="G9" s="4" t="s">
        <v>383</v>
      </c>
      <c r="H9" s="4" t="s">
        <v>359</v>
      </c>
    </row>
    <row r="10" customFormat="false" ht="23.85" hidden="false" customHeight="false" outlineLevel="0" collapsed="false">
      <c r="A10" s="4" t="s">
        <v>384</v>
      </c>
      <c r="B10" s="4" t="s">
        <v>385</v>
      </c>
      <c r="C10" s="4" t="s">
        <v>386</v>
      </c>
      <c r="D10" s="4" t="s">
        <v>387</v>
      </c>
      <c r="E10" s="4" t="s">
        <v>369</v>
      </c>
      <c r="F10" s="4" t="s">
        <v>388</v>
      </c>
      <c r="G10" s="4" t="s">
        <v>389</v>
      </c>
      <c r="H10" s="4" t="s">
        <v>390</v>
      </c>
    </row>
    <row r="11" customFormat="false" ht="15" hidden="false" customHeight="false" outlineLevel="0" collapsed="false">
      <c r="A11" s="4" t="s">
        <v>391</v>
      </c>
      <c r="B11" s="4" t="s">
        <v>385</v>
      </c>
      <c r="C11" s="4" t="s">
        <v>392</v>
      </c>
      <c r="D11" s="4" t="s">
        <v>393</v>
      </c>
      <c r="E11" s="4" t="s">
        <v>369</v>
      </c>
      <c r="F11" s="4" t="s">
        <v>394</v>
      </c>
      <c r="G11" s="4" t="s">
        <v>395</v>
      </c>
      <c r="H11" s="4" t="s">
        <v>390</v>
      </c>
    </row>
    <row r="12" customFormat="false" ht="23.85" hidden="false" customHeight="false" outlineLevel="0" collapsed="false">
      <c r="A12" s="4" t="s">
        <v>396</v>
      </c>
      <c r="B12" s="4" t="s">
        <v>385</v>
      </c>
      <c r="C12" s="4" t="s">
        <v>397</v>
      </c>
      <c r="D12" s="4" t="s">
        <v>398</v>
      </c>
      <c r="E12" s="4" t="s">
        <v>399</v>
      </c>
      <c r="F12" s="4" t="s">
        <v>400</v>
      </c>
      <c r="G12" s="4" t="s">
        <v>401</v>
      </c>
      <c r="H12" s="4" t="s">
        <v>390</v>
      </c>
    </row>
    <row r="13" customFormat="false" ht="23.85" hidden="false" customHeight="false" outlineLevel="0" collapsed="false">
      <c r="A13" s="4" t="s">
        <v>402</v>
      </c>
      <c r="B13" s="4" t="s">
        <v>385</v>
      </c>
      <c r="C13" s="4" t="s">
        <v>403</v>
      </c>
      <c r="D13" s="4" t="s">
        <v>404</v>
      </c>
      <c r="E13" s="4" t="s">
        <v>399</v>
      </c>
      <c r="F13" s="4" t="s">
        <v>405</v>
      </c>
      <c r="G13" s="4" t="s">
        <v>406</v>
      </c>
      <c r="H13" s="4" t="s">
        <v>133</v>
      </c>
    </row>
    <row r="14" customFormat="false" ht="23.85" hidden="false" customHeight="false" outlineLevel="0" collapsed="false">
      <c r="A14" s="4" t="s">
        <v>407</v>
      </c>
      <c r="B14" s="4" t="s">
        <v>151</v>
      </c>
      <c r="C14" s="4" t="s">
        <v>408</v>
      </c>
      <c r="D14" s="4" t="s">
        <v>409</v>
      </c>
      <c r="E14" s="4" t="s">
        <v>410</v>
      </c>
      <c r="F14" s="4" t="s">
        <v>411</v>
      </c>
      <c r="G14" s="4" t="s">
        <v>412</v>
      </c>
      <c r="H14" s="4" t="s">
        <v>125</v>
      </c>
    </row>
    <row r="15" customFormat="false" ht="15" hidden="false" customHeight="false" outlineLevel="0" collapsed="false">
      <c r="A15" s="4" t="s">
        <v>413</v>
      </c>
      <c r="B15" s="4" t="s">
        <v>151</v>
      </c>
      <c r="C15" s="4" t="s">
        <v>414</v>
      </c>
      <c r="D15" s="4" t="s">
        <v>415</v>
      </c>
      <c r="E15" s="4" t="s">
        <v>410</v>
      </c>
      <c r="F15" s="4" t="s">
        <v>416</v>
      </c>
      <c r="G15" s="4" t="s">
        <v>417</v>
      </c>
      <c r="H15" s="4" t="s">
        <v>125</v>
      </c>
    </row>
    <row r="16" customFormat="false" ht="15" hidden="false" customHeight="false" outlineLevel="0" collapsed="false">
      <c r="A16" s="4" t="s">
        <v>418</v>
      </c>
      <c r="B16" s="4" t="s">
        <v>151</v>
      </c>
      <c r="C16" s="4" t="s">
        <v>419</v>
      </c>
      <c r="D16" s="4" t="s">
        <v>420</v>
      </c>
      <c r="E16" s="4" t="s">
        <v>410</v>
      </c>
      <c r="F16" s="4" t="s">
        <v>421</v>
      </c>
      <c r="G16" s="4" t="s">
        <v>422</v>
      </c>
      <c r="H16" s="4" t="s">
        <v>125</v>
      </c>
    </row>
    <row r="17" customFormat="false" ht="15" hidden="false" customHeight="false" outlineLevel="0" collapsed="false">
      <c r="A17" s="4" t="s">
        <v>423</v>
      </c>
      <c r="B17" s="4" t="s">
        <v>151</v>
      </c>
      <c r="C17" s="4" t="s">
        <v>424</v>
      </c>
      <c r="D17" s="4" t="s">
        <v>425</v>
      </c>
      <c r="E17" s="4" t="s">
        <v>410</v>
      </c>
      <c r="F17" s="4" t="s">
        <v>426</v>
      </c>
      <c r="G17" s="4" t="s">
        <v>427</v>
      </c>
      <c r="H17" s="4" t="s">
        <v>125</v>
      </c>
    </row>
    <row r="18" customFormat="false" ht="15" hidden="false" customHeight="false" outlineLevel="0" collapsed="false">
      <c r="A18" s="4" t="s">
        <v>428</v>
      </c>
      <c r="B18" s="4" t="s">
        <v>429</v>
      </c>
      <c r="C18" s="4" t="s">
        <v>430</v>
      </c>
      <c r="D18" s="4" t="s">
        <v>431</v>
      </c>
      <c r="E18" s="4" t="s">
        <v>432</v>
      </c>
      <c r="F18" s="4" t="s">
        <v>433</v>
      </c>
      <c r="G18" s="4" t="s">
        <v>371</v>
      </c>
      <c r="H18" s="4" t="s">
        <v>359</v>
      </c>
    </row>
    <row r="19" customFormat="false" ht="23.85" hidden="false" customHeight="false" outlineLevel="0" collapsed="false">
      <c r="A19" s="4" t="s">
        <v>434</v>
      </c>
      <c r="B19" s="4" t="s">
        <v>429</v>
      </c>
      <c r="C19" s="4" t="s">
        <v>435</v>
      </c>
      <c r="D19" s="4" t="s">
        <v>436</v>
      </c>
      <c r="E19" s="4" t="s">
        <v>437</v>
      </c>
      <c r="F19" s="4" t="s">
        <v>438</v>
      </c>
      <c r="G19" s="4" t="s">
        <v>439</v>
      </c>
      <c r="H19" s="4" t="s">
        <v>147</v>
      </c>
    </row>
    <row r="20" customFormat="false" ht="35.05" hidden="false" customHeight="false" outlineLevel="0" collapsed="false">
      <c r="A20" s="4" t="s">
        <v>440</v>
      </c>
      <c r="B20" s="4" t="s">
        <v>429</v>
      </c>
      <c r="C20" s="4" t="s">
        <v>441</v>
      </c>
      <c r="D20" s="4" t="s">
        <v>442</v>
      </c>
      <c r="E20" s="4" t="s">
        <v>369</v>
      </c>
      <c r="F20" s="4" t="s">
        <v>443</v>
      </c>
      <c r="G20" s="4" t="s">
        <v>444</v>
      </c>
      <c r="H20" s="4" t="s">
        <v>359</v>
      </c>
    </row>
    <row r="22" customFormat="false" ht="15" hidden="false" customHeight="false" outlineLevel="0" collapsed="false">
      <c r="A22" s="2" t="s">
        <v>445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0" t="s">
        <v>446</v>
      </c>
      <c r="B23" s="20" t="s">
        <v>447</v>
      </c>
      <c r="C23" s="20" t="s">
        <v>33</v>
      </c>
      <c r="D23" s="20" t="s">
        <v>448</v>
      </c>
      <c r="E23" s="20" t="s">
        <v>449</v>
      </c>
      <c r="F23" s="20" t="s">
        <v>450</v>
      </c>
    </row>
    <row r="24" customFormat="false" ht="23.85" hidden="false" customHeight="false" outlineLevel="0" collapsed="false">
      <c r="A24" s="5" t="s">
        <v>451</v>
      </c>
      <c r="B24" s="5" t="s">
        <v>452</v>
      </c>
      <c r="C24" s="5" t="s">
        <v>453</v>
      </c>
      <c r="D24" s="5" t="s">
        <v>454</v>
      </c>
      <c r="E24" s="5" t="s">
        <v>455</v>
      </c>
      <c r="F24" s="5" t="s">
        <v>456</v>
      </c>
    </row>
    <row r="25" customFormat="false" ht="23.85" hidden="false" customHeight="false" outlineLevel="0" collapsed="false">
      <c r="A25" s="5" t="s">
        <v>457</v>
      </c>
      <c r="B25" s="5" t="s">
        <v>458</v>
      </c>
      <c r="C25" s="5" t="s">
        <v>459</v>
      </c>
      <c r="D25" s="5" t="s">
        <v>460</v>
      </c>
      <c r="E25" s="5" t="s">
        <v>461</v>
      </c>
      <c r="F25" s="5" t="s">
        <v>462</v>
      </c>
    </row>
    <row r="26" customFormat="false" ht="23.85" hidden="false" customHeight="false" outlineLevel="0" collapsed="false">
      <c r="A26" s="5" t="s">
        <v>463</v>
      </c>
      <c r="B26" s="5" t="s">
        <v>464</v>
      </c>
      <c r="C26" s="5" t="s">
        <v>465</v>
      </c>
      <c r="D26" s="5" t="s">
        <v>466</v>
      </c>
      <c r="E26" s="5" t="s">
        <v>455</v>
      </c>
      <c r="F26" s="5" t="s">
        <v>467</v>
      </c>
    </row>
    <row r="27" customFormat="false" ht="23.85" hidden="false" customHeight="false" outlineLevel="0" collapsed="false">
      <c r="A27" s="5" t="s">
        <v>468</v>
      </c>
      <c r="B27" s="5" t="s">
        <v>469</v>
      </c>
      <c r="C27" s="5" t="s">
        <v>470</v>
      </c>
      <c r="D27" s="5" t="s">
        <v>471</v>
      </c>
      <c r="E27" s="5" t="s">
        <v>461</v>
      </c>
      <c r="F27" s="5" t="s">
        <v>472</v>
      </c>
    </row>
    <row r="28" customFormat="false" ht="23.85" hidden="false" customHeight="false" outlineLevel="0" collapsed="false">
      <c r="A28" s="5" t="s">
        <v>473</v>
      </c>
      <c r="B28" s="5" t="s">
        <v>474</v>
      </c>
      <c r="C28" s="5" t="s">
        <v>475</v>
      </c>
      <c r="D28" s="5" t="s">
        <v>476</v>
      </c>
      <c r="E28" s="5" t="s">
        <v>477</v>
      </c>
      <c r="F28" s="5" t="s">
        <v>478</v>
      </c>
    </row>
    <row r="29" customFormat="false" ht="23.85" hidden="false" customHeight="false" outlineLevel="0" collapsed="false">
      <c r="A29" s="5" t="s">
        <v>479</v>
      </c>
      <c r="B29" s="5" t="s">
        <v>480</v>
      </c>
      <c r="C29" s="5" t="s">
        <v>481</v>
      </c>
      <c r="D29" s="5" t="s">
        <v>482</v>
      </c>
      <c r="E29" s="5" t="s">
        <v>455</v>
      </c>
      <c r="F29" s="5" t="s">
        <v>483</v>
      </c>
    </row>
    <row r="30" customFormat="false" ht="23.85" hidden="false" customHeight="false" outlineLevel="0" collapsed="false">
      <c r="A30" s="5" t="s">
        <v>484</v>
      </c>
      <c r="B30" s="5" t="s">
        <v>485</v>
      </c>
      <c r="C30" s="5" t="s">
        <v>486</v>
      </c>
      <c r="D30" s="5" t="s">
        <v>487</v>
      </c>
      <c r="E30" s="5" t="s">
        <v>477</v>
      </c>
      <c r="F30" s="5" t="s">
        <v>488</v>
      </c>
    </row>
    <row r="31" customFormat="false" ht="23.85" hidden="false" customHeight="false" outlineLevel="0" collapsed="false">
      <c r="A31" s="5" t="s">
        <v>489</v>
      </c>
      <c r="B31" s="5" t="s">
        <v>490</v>
      </c>
      <c r="C31" s="5" t="s">
        <v>491</v>
      </c>
      <c r="D31" s="5" t="s">
        <v>492</v>
      </c>
      <c r="E31" s="5" t="s">
        <v>461</v>
      </c>
      <c r="F31" s="5" t="s">
        <v>493</v>
      </c>
    </row>
    <row r="32" customFormat="false" ht="23.85" hidden="false" customHeight="false" outlineLevel="0" collapsed="false">
      <c r="A32" s="5" t="s">
        <v>494</v>
      </c>
      <c r="B32" s="5" t="s">
        <v>495</v>
      </c>
      <c r="C32" s="5" t="s">
        <v>496</v>
      </c>
      <c r="D32" s="5" t="s">
        <v>497</v>
      </c>
      <c r="E32" s="5" t="s">
        <v>455</v>
      </c>
      <c r="F32" s="5" t="s">
        <v>498</v>
      </c>
    </row>
    <row r="33" customFormat="false" ht="23.85" hidden="false" customHeight="false" outlineLevel="0" collapsed="false">
      <c r="A33" s="5" t="s">
        <v>499</v>
      </c>
      <c r="B33" s="5" t="s">
        <v>500</v>
      </c>
      <c r="C33" s="5" t="s">
        <v>501</v>
      </c>
      <c r="D33" s="5" t="s">
        <v>502</v>
      </c>
      <c r="E33" s="5" t="s">
        <v>477</v>
      </c>
      <c r="F33" s="5" t="s">
        <v>503</v>
      </c>
    </row>
    <row r="35" customFormat="false" ht="15" hidden="false" customHeight="false" outlineLevel="0" collapsed="false">
      <c r="A35" s="2" t="s">
        <v>504</v>
      </c>
      <c r="B35" s="2"/>
      <c r="C35" s="2"/>
      <c r="D35" s="2"/>
      <c r="E35" s="2"/>
      <c r="F35" s="2"/>
      <c r="G35" s="2"/>
      <c r="H35" s="2"/>
    </row>
    <row r="36" customFormat="false" ht="26.85" hidden="false" customHeight="false" outlineLevel="0" collapsed="false">
      <c r="A36" s="20" t="s">
        <v>505</v>
      </c>
      <c r="B36" s="20" t="s">
        <v>506</v>
      </c>
      <c r="C36" s="20" t="s">
        <v>507</v>
      </c>
      <c r="D36" s="20" t="s">
        <v>508</v>
      </c>
      <c r="E36" s="20" t="s">
        <v>509</v>
      </c>
      <c r="F36" s="20" t="s">
        <v>510</v>
      </c>
      <c r="G36" s="20" t="s">
        <v>511</v>
      </c>
    </row>
    <row r="37" customFormat="false" ht="46.25" hidden="false" customHeight="false" outlineLevel="0" collapsed="false">
      <c r="A37" s="5" t="s">
        <v>461</v>
      </c>
      <c r="B37" s="5" t="s">
        <v>126</v>
      </c>
      <c r="C37" s="5" t="s">
        <v>512</v>
      </c>
      <c r="D37" s="5" t="s">
        <v>513</v>
      </c>
      <c r="E37" s="5" t="n">
        <v>0.5</v>
      </c>
      <c r="F37" s="5" t="s">
        <v>514</v>
      </c>
      <c r="G37" s="5" t="s">
        <v>133</v>
      </c>
    </row>
    <row r="38" customFormat="false" ht="35.05" hidden="false" customHeight="false" outlineLevel="0" collapsed="false">
      <c r="A38" s="5" t="s">
        <v>515</v>
      </c>
      <c r="B38" s="5" t="s">
        <v>134</v>
      </c>
      <c r="C38" s="5" t="s">
        <v>516</v>
      </c>
      <c r="D38" s="5" t="s">
        <v>517</v>
      </c>
      <c r="E38" s="5" t="n">
        <v>2</v>
      </c>
      <c r="F38" s="5" t="s">
        <v>518</v>
      </c>
      <c r="G38" s="5" t="s">
        <v>125</v>
      </c>
    </row>
    <row r="39" customFormat="false" ht="35.05" hidden="false" customHeight="false" outlineLevel="0" collapsed="false">
      <c r="A39" s="5" t="s">
        <v>519</v>
      </c>
      <c r="B39" s="5" t="s">
        <v>520</v>
      </c>
      <c r="C39" s="5" t="s">
        <v>521</v>
      </c>
      <c r="D39" s="5" t="s">
        <v>522</v>
      </c>
      <c r="E39" s="5" t="n">
        <v>24</v>
      </c>
      <c r="F39" s="5" t="s">
        <v>523</v>
      </c>
      <c r="G39" s="5" t="s">
        <v>390</v>
      </c>
    </row>
    <row r="40" customFormat="false" ht="23.85" hidden="false" customHeight="false" outlineLevel="0" collapsed="false">
      <c r="A40" s="5" t="s">
        <v>524</v>
      </c>
      <c r="B40" s="5" t="s">
        <v>525</v>
      </c>
      <c r="C40" s="5" t="s">
        <v>526</v>
      </c>
      <c r="D40" s="5" t="s">
        <v>527</v>
      </c>
      <c r="E40" s="5" t="n">
        <v>168</v>
      </c>
      <c r="F40" s="5" t="s">
        <v>528</v>
      </c>
      <c r="G40" s="5" t="s">
        <v>529</v>
      </c>
    </row>
    <row r="42" customFormat="false" ht="15" hidden="false" customHeight="false" outlineLevel="0" collapsed="false">
      <c r="A42" s="2" t="s">
        <v>530</v>
      </c>
      <c r="B42" s="2"/>
      <c r="C42" s="2"/>
      <c r="D42" s="2"/>
      <c r="E42" s="2"/>
      <c r="F42" s="2"/>
      <c r="G42" s="2"/>
      <c r="H42" s="2"/>
    </row>
    <row r="43" customFormat="false" ht="15" hidden="false" customHeight="true" outlineLevel="0" collapsed="false">
      <c r="A43" s="6" t="s">
        <v>531</v>
      </c>
      <c r="B43" s="5" t="s">
        <v>532</v>
      </c>
      <c r="C43" s="5"/>
      <c r="D43" s="5"/>
      <c r="E43" s="5"/>
      <c r="F43" s="5"/>
      <c r="G43" s="5"/>
      <c r="H43" s="5"/>
    </row>
    <row r="44" customFormat="false" ht="23.85" hidden="false" customHeight="true" outlineLevel="0" collapsed="false">
      <c r="A44" s="6" t="s">
        <v>533</v>
      </c>
      <c r="B44" s="5" t="s">
        <v>534</v>
      </c>
      <c r="C44" s="5"/>
      <c r="D44" s="5"/>
      <c r="E44" s="5"/>
      <c r="F44" s="5"/>
      <c r="G44" s="5"/>
      <c r="H44" s="5"/>
    </row>
    <row r="45" customFormat="false" ht="23.85" hidden="false" customHeight="true" outlineLevel="0" collapsed="false">
      <c r="A45" s="6" t="s">
        <v>535</v>
      </c>
      <c r="B45" s="5" t="s">
        <v>536</v>
      </c>
      <c r="C45" s="5"/>
      <c r="D45" s="5"/>
      <c r="E45" s="5"/>
      <c r="F45" s="5"/>
      <c r="G45" s="5"/>
      <c r="H45" s="5"/>
    </row>
    <row r="46" customFormat="false" ht="15" hidden="false" customHeight="true" outlineLevel="0" collapsed="false">
      <c r="A46" s="6" t="s">
        <v>537</v>
      </c>
      <c r="B46" s="5" t="s">
        <v>538</v>
      </c>
      <c r="C46" s="5"/>
      <c r="D46" s="5"/>
      <c r="E46" s="5"/>
      <c r="F46" s="5"/>
      <c r="G46" s="5"/>
      <c r="H46" s="5"/>
    </row>
    <row r="47" customFormat="false" ht="23.85" hidden="false" customHeight="true" outlineLevel="0" collapsed="false">
      <c r="A47" s="6" t="s">
        <v>539</v>
      </c>
      <c r="B47" s="5" t="s">
        <v>540</v>
      </c>
      <c r="C47" s="5"/>
      <c r="D47" s="5"/>
      <c r="E47" s="5"/>
      <c r="F47" s="5"/>
      <c r="G47" s="5"/>
      <c r="H47" s="5"/>
    </row>
  </sheetData>
  <mergeCells count="6">
    <mergeCell ref="A1:H1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5"/>
  </cols>
  <sheetData>
    <row r="1" customFormat="false" ht="17.35" hidden="false" customHeight="false" outlineLevel="0" collapsed="false">
      <c r="A1" s="21" t="s">
        <v>541</v>
      </c>
      <c r="B1" s="21"/>
      <c r="C1" s="21"/>
      <c r="D1" s="21"/>
    </row>
    <row r="2" customFormat="false" ht="15" hidden="false" customHeight="false" outlineLevel="0" collapsed="false">
      <c r="A2" s="22" t="s">
        <v>542</v>
      </c>
      <c r="B2" s="22"/>
      <c r="C2" s="22"/>
      <c r="D2" s="22"/>
    </row>
    <row r="3" customFormat="false" ht="15" hidden="false" customHeight="false" outlineLevel="0" collapsed="false">
      <c r="B3" s="0" t="s">
        <v>543</v>
      </c>
    </row>
    <row r="4" customFormat="false" ht="15" hidden="false" customHeight="false" outlineLevel="0" collapsed="false">
      <c r="A4" s="2" t="s">
        <v>544</v>
      </c>
      <c r="B4" s="2" t="s">
        <v>545</v>
      </c>
      <c r="C4" s="2"/>
      <c r="D4" s="2"/>
    </row>
    <row r="5" customFormat="false" ht="15" hidden="false" customHeight="true" outlineLevel="0" collapsed="false">
      <c r="A5" s="6" t="s">
        <v>546</v>
      </c>
      <c r="B5" s="5" t="s">
        <v>547</v>
      </c>
      <c r="C5" s="5"/>
      <c r="D5" s="5"/>
    </row>
    <row r="6" customFormat="false" ht="15" hidden="false" customHeight="true" outlineLevel="0" collapsed="false">
      <c r="A6" s="6" t="s">
        <v>548</v>
      </c>
      <c r="B6" s="5" t="s">
        <v>549</v>
      </c>
      <c r="C6" s="5"/>
      <c r="D6" s="5"/>
    </row>
    <row r="7" customFormat="false" ht="15" hidden="false" customHeight="true" outlineLevel="0" collapsed="false">
      <c r="A7" s="6" t="s">
        <v>550</v>
      </c>
      <c r="B7" s="5" t="s">
        <v>551</v>
      </c>
      <c r="C7" s="5"/>
      <c r="D7" s="5"/>
    </row>
    <row r="9" customFormat="false" ht="15" hidden="false" customHeight="false" outlineLevel="0" collapsed="false">
      <c r="A9" s="2" t="s">
        <v>552</v>
      </c>
      <c r="B9" s="2"/>
      <c r="C9" s="2"/>
      <c r="D9" s="2"/>
    </row>
    <row r="10" customFormat="false" ht="15" hidden="false" customHeight="true" outlineLevel="0" collapsed="false">
      <c r="A10" s="6" t="s">
        <v>553</v>
      </c>
      <c r="B10" s="5" t="s">
        <v>554</v>
      </c>
      <c r="C10" s="5"/>
      <c r="D10" s="5"/>
    </row>
    <row r="11" customFormat="false" ht="15" hidden="false" customHeight="true" outlineLevel="0" collapsed="false">
      <c r="A11" s="6" t="s">
        <v>555</v>
      </c>
      <c r="B11" s="5" t="s">
        <v>556</v>
      </c>
      <c r="C11" s="5"/>
      <c r="D11" s="5"/>
    </row>
    <row r="12" customFormat="false" ht="15" hidden="false" customHeight="true" outlineLevel="0" collapsed="false">
      <c r="A12" s="6" t="s">
        <v>557</v>
      </c>
      <c r="B12" s="5" t="s">
        <v>558</v>
      </c>
      <c r="C12" s="5"/>
      <c r="D12" s="5"/>
    </row>
    <row r="14" customFormat="false" ht="15" hidden="false" customHeight="false" outlineLevel="0" collapsed="false">
      <c r="A14" s="2" t="s">
        <v>559</v>
      </c>
      <c r="B14" s="2"/>
      <c r="C14" s="2"/>
      <c r="D14" s="2"/>
    </row>
    <row r="15" customFormat="false" ht="15" hidden="false" customHeight="true" outlineLevel="0" collapsed="false">
      <c r="A15" s="6" t="s">
        <v>560</v>
      </c>
      <c r="B15" s="5" t="s">
        <v>561</v>
      </c>
      <c r="C15" s="5"/>
      <c r="D15" s="5"/>
    </row>
    <row r="16" customFormat="false" ht="23.85" hidden="false" customHeight="true" outlineLevel="0" collapsed="false">
      <c r="A16" s="6" t="s">
        <v>562</v>
      </c>
      <c r="B16" s="5" t="s">
        <v>563</v>
      </c>
      <c r="C16" s="5"/>
      <c r="D16" s="5"/>
    </row>
    <row r="17" customFormat="false" ht="15" hidden="false" customHeight="true" outlineLevel="0" collapsed="false">
      <c r="A17" s="6" t="s">
        <v>564</v>
      </c>
      <c r="B17" s="5" t="s">
        <v>103</v>
      </c>
      <c r="C17" s="5"/>
      <c r="D17" s="5"/>
    </row>
    <row r="19" customFormat="false" ht="15" hidden="false" customHeight="false" outlineLevel="0" collapsed="false">
      <c r="A19" s="2" t="s">
        <v>565</v>
      </c>
      <c r="B19" s="2"/>
      <c r="C19" s="2"/>
      <c r="D19" s="2"/>
    </row>
    <row r="20" customFormat="false" ht="15" hidden="false" customHeight="true" outlineLevel="0" collapsed="false">
      <c r="A20" s="6" t="s">
        <v>566</v>
      </c>
      <c r="B20" s="5" t="s">
        <v>567</v>
      </c>
      <c r="C20" s="5"/>
      <c r="D20" s="5"/>
    </row>
    <row r="21" customFormat="false" ht="15" hidden="false" customHeight="true" outlineLevel="0" collapsed="false">
      <c r="A21" s="6" t="s">
        <v>568</v>
      </c>
      <c r="B21" s="5" t="s">
        <v>569</v>
      </c>
      <c r="C21" s="5"/>
      <c r="D21" s="5"/>
    </row>
    <row r="22" customFormat="false" ht="15" hidden="false" customHeight="true" outlineLevel="0" collapsed="false">
      <c r="A22" s="6" t="s">
        <v>570</v>
      </c>
      <c r="B22" s="5" t="s">
        <v>571</v>
      </c>
      <c r="C22" s="5"/>
      <c r="D22" s="5"/>
    </row>
    <row r="24" customFormat="false" ht="15" hidden="false" customHeight="false" outlineLevel="0" collapsed="false">
      <c r="A24" s="2" t="s">
        <v>572</v>
      </c>
      <c r="B24" s="2"/>
      <c r="C24" s="2"/>
      <c r="D24" s="2"/>
    </row>
    <row r="25" customFormat="false" ht="15" hidden="false" customHeight="true" outlineLevel="0" collapsed="false">
      <c r="A25" s="6" t="s">
        <v>573</v>
      </c>
      <c r="B25" s="5" t="s">
        <v>191</v>
      </c>
      <c r="C25" s="5"/>
      <c r="D25" s="5"/>
    </row>
    <row r="26" customFormat="false" ht="15" hidden="false" customHeight="true" outlineLevel="0" collapsed="false">
      <c r="A26" s="6" t="s">
        <v>231</v>
      </c>
      <c r="B26" s="5" t="s">
        <v>574</v>
      </c>
      <c r="C26" s="5"/>
      <c r="D26" s="5"/>
    </row>
    <row r="27" customFormat="false" ht="15" hidden="false" customHeight="true" outlineLevel="0" collapsed="false">
      <c r="A27" s="6" t="s">
        <v>575</v>
      </c>
      <c r="B27" s="5" t="s">
        <v>576</v>
      </c>
      <c r="C27" s="5"/>
      <c r="D27" s="5"/>
    </row>
    <row r="29" customFormat="false" ht="15" hidden="false" customHeight="false" outlineLevel="0" collapsed="false">
      <c r="A29" s="2" t="s">
        <v>577</v>
      </c>
      <c r="B29" s="2"/>
      <c r="C29" s="2"/>
      <c r="D29" s="2"/>
    </row>
    <row r="30" customFormat="false" ht="15" hidden="false" customHeight="true" outlineLevel="0" collapsed="false">
      <c r="A30" s="6" t="s">
        <v>578</v>
      </c>
      <c r="B30" s="5" t="s">
        <v>579</v>
      </c>
      <c r="C30" s="5"/>
      <c r="D30" s="5"/>
    </row>
    <row r="31" customFormat="false" ht="15" hidden="false" customHeight="true" outlineLevel="0" collapsed="false">
      <c r="A31" s="6" t="s">
        <v>580</v>
      </c>
      <c r="B31" s="5" t="s">
        <v>581</v>
      </c>
      <c r="C31" s="5"/>
      <c r="D31" s="5"/>
    </row>
    <row r="32" customFormat="false" ht="15" hidden="false" customHeight="true" outlineLevel="0" collapsed="false">
      <c r="A32" s="6" t="s">
        <v>582</v>
      </c>
      <c r="B32" s="5" t="s">
        <v>583</v>
      </c>
      <c r="C32" s="5"/>
      <c r="D32" s="5"/>
    </row>
    <row r="34" customFormat="false" ht="15" hidden="false" customHeight="false" outlineLevel="0" collapsed="false">
      <c r="A34" s="2" t="s">
        <v>584</v>
      </c>
      <c r="B34" s="2"/>
      <c r="C34" s="2"/>
      <c r="D34" s="2"/>
    </row>
    <row r="35" customFormat="false" ht="15" hidden="false" customHeight="true" outlineLevel="0" collapsed="false">
      <c r="A35" s="6" t="s">
        <v>585</v>
      </c>
      <c r="B35" s="5" t="s">
        <v>561</v>
      </c>
      <c r="C35" s="5"/>
      <c r="D35" s="5"/>
    </row>
    <row r="36" customFormat="false" ht="15" hidden="false" customHeight="true" outlineLevel="0" collapsed="false">
      <c r="A36" s="6" t="s">
        <v>586</v>
      </c>
      <c r="B36" s="5" t="s">
        <v>587</v>
      </c>
      <c r="C36" s="5"/>
      <c r="D36" s="5"/>
    </row>
    <row r="37" customFormat="false" ht="15" hidden="false" customHeight="true" outlineLevel="0" collapsed="false">
      <c r="A37" s="6" t="s">
        <v>588</v>
      </c>
      <c r="B37" s="5" t="s">
        <v>589</v>
      </c>
      <c r="C37" s="5"/>
      <c r="D37" s="5"/>
    </row>
    <row r="38" customFormat="false" ht="15" hidden="false" customHeight="true" outlineLevel="0" collapsed="false">
      <c r="A38" s="6" t="s">
        <v>590</v>
      </c>
      <c r="B38" s="5" t="s">
        <v>103</v>
      </c>
      <c r="C38" s="5"/>
      <c r="D38" s="5"/>
    </row>
  </sheetData>
  <mergeCells count="24">
    <mergeCell ref="A1:D1"/>
    <mergeCell ref="A2:D2"/>
    <mergeCell ref="B5:D5"/>
    <mergeCell ref="B6:D6"/>
    <mergeCell ref="B7:D7"/>
    <mergeCell ref="B10:D10"/>
    <mergeCell ref="B11:D11"/>
    <mergeCell ref="B12:D12"/>
    <mergeCell ref="B15:D15"/>
    <mergeCell ref="B16:D16"/>
    <mergeCell ref="B17:D17"/>
    <mergeCell ref="B20:D20"/>
    <mergeCell ref="B21:D21"/>
    <mergeCell ref="B22:D22"/>
    <mergeCell ref="B25:D25"/>
    <mergeCell ref="B26:D26"/>
    <mergeCell ref="B27:D27"/>
    <mergeCell ref="B30:D30"/>
    <mergeCell ref="B31:D31"/>
    <mergeCell ref="B32:D32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2026-02-10T23:45:21Z</dcterms:created>
  <dc:creator>openpyxl</dc:creator>
  <dc:description/>
  <dc:language>pt-BR</dc:language>
  <cp:lastModifiedBy/>
  <dcterms:modified xsi:type="dcterms:W3CDTF">2026-04-14T08:27:42Z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